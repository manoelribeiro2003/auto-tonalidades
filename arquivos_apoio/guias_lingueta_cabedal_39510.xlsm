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ml0559\Desktop\Projetos\node\auto-tonalidades\arquivos_apoio\"/>
    </mc:Choice>
  </mc:AlternateContent>
  <xr:revisionPtr revIDLastSave="0" documentId="13_ncr:1_{D23B421C-A52B-4B7B-96F5-D835DB06504E}" xr6:coauthVersionLast="47" xr6:coauthVersionMax="47" xr10:uidLastSave="{00000000-0000-0000-0000-000000000000}"/>
  <bookViews>
    <workbookView xWindow="28680" yWindow="-120" windowWidth="29040" windowHeight="15720" xr2:uid="{6D144C5B-6214-411E-9B30-CA8D686E1ADD}"/>
  </bookViews>
  <sheets>
    <sheet name="Calculos" sheetId="5" r:id="rId1"/>
    <sheet name="CABEDAL " sheetId="2" r:id="rId2"/>
    <sheet name="LINGUETA" sheetId="3" r:id="rId3"/>
    <sheet name="GÁSPEA INT" sheetId="6" r:id="rId4"/>
    <sheet name="GÁSPEA EXT (2)" sheetId="7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_xlnm._FilterDatabase" localSheetId="1" hidden="1">'CABEDAL '!$P$9:$P$72</definedName>
    <definedName name="_xlnm._FilterDatabase" localSheetId="4" hidden="1">'GÁSPEA EXT (2)'!$P$9:$P$44</definedName>
    <definedName name="_xlnm._FilterDatabase" localSheetId="3" hidden="1">'GÁSPEA INT'!$P$9:$P$44</definedName>
    <definedName name="_xlnm._FilterDatabase" localSheetId="2" hidden="1">LINGUETA!$P$9:$P$72</definedName>
    <definedName name="a">#REF!</definedName>
    <definedName name="ad">[9]COSTURA!$A$52</definedName>
    <definedName name="AKROPMAI">#REF!</definedName>
    <definedName name="AKROPS">#REF!</definedName>
    <definedName name="AKROPSMAI">#REF!</definedName>
    <definedName name="APAGAR">[11]MPS!$K$2:$M$218,[11]MPS!$S$2:$T$218,[11]MPS!$Y$2:$Z$218</definedName>
    <definedName name="_xlnm.Print_Area" localSheetId="1">'CABEDAL '!$B$2:$N$72</definedName>
    <definedName name="_xlnm.Print_Area" localSheetId="4">'GÁSPEA EXT (2)'!$B$2:$N$44</definedName>
    <definedName name="_xlnm.Print_Area" localSheetId="3">'GÁSPEA INT'!$B$2:$N$44</definedName>
    <definedName name="_xlnm.Print_Area" localSheetId="2">LINGUETA!$B$2:$N$72</definedName>
    <definedName name="B">#REF!</definedName>
    <definedName name="Camadas">#REF!</definedName>
    <definedName name="cc">'[13]Distribuição MAIO (2)'!$C$1</definedName>
    <definedName name="EVEREST">#REF!</definedName>
    <definedName name="Exp">#REF!</definedName>
    <definedName name="gap">[14]Listas!$F$2:$F$3</definedName>
    <definedName name="Interno">#REF!</definedName>
    <definedName name="Materiais">#REF!</definedName>
    <definedName name="MELENA">#REF!</definedName>
    <definedName name="motor">[14]Listas!$E$2:$E$5</definedName>
    <definedName name="NOBUCK">#REF!</definedName>
    <definedName name="op">#REF!</definedName>
    <definedName name="PARAMETROS_EVA_BLOCOS" localSheetId="1">'[1]Parâmetros EVA'!$B$4:$C$9</definedName>
    <definedName name="PARAMETROS_EVA_BLOCOS" localSheetId="2">'[2]Parâmetros EVA'!$B$4:$C$9</definedName>
    <definedName name="PARAMETROS_EVA_BLOCOS">'[3]Parâmetros EVA'!$B$4:$C$9</definedName>
    <definedName name="PARAMETROS_EVA_COMPOSTO_X_ESPESSURA" localSheetId="1">'[1]Parâmetros EVA'!$G:$P</definedName>
    <definedName name="PARAMETROS_EVA_COMPOSTO_X_ESPESSURA" localSheetId="2">'[2]Parâmetros EVA'!$G:$P</definedName>
    <definedName name="PARAMETROS_EVA_COMPOSTO_X_ESPESSURA">'[3]Parâmetros EVA'!$G:$P</definedName>
    <definedName name="PARAMETROS_EVA_COMPOSTOS_EVA" localSheetId="1">'[1]Parâmetros EVA'!$B$4:$B$9</definedName>
    <definedName name="PARAMETROS_EVA_COMPOSTOS_EVA" localSheetId="2">'[2]Parâmetros EVA'!$B$4:$B$9</definedName>
    <definedName name="PARAMETROS_EVA_COMPOSTOS_EVA">'[3]Parâmetros EVA'!$B$4:$B$9</definedName>
    <definedName name="PARAMETROS_EVA_ESPESSURAS_EVA" localSheetId="1">'[1]Parâmetros EVA'!$E$4:$E$25</definedName>
    <definedName name="PARAMETROS_EVA_ESPESSURAS_EVA" localSheetId="2">'[2]Parâmetros EVA'!$E$4:$E$25</definedName>
    <definedName name="PARAMETROS_EVA_ESPESSURAS_EVA">'[3]Parâmetros EVA'!$E$4:$E$26</definedName>
    <definedName name="PC_ESTAGIO" localSheetId="1">[1]PC!$NV$4</definedName>
    <definedName name="PC_ESTAGIO" localSheetId="2">[2]PC!$NV$4</definedName>
    <definedName name="PC_ESTAGIO">[3]PC!$NV$4</definedName>
    <definedName name="PC_PROJETO_CODIGO" localSheetId="1">[1]PC!$B$4</definedName>
    <definedName name="PC_PROJETO_CODIGO" localSheetId="2">[2]PC!$B$4</definedName>
    <definedName name="PC_PROJETO_CODIGO">[3]PC!$B$4</definedName>
    <definedName name="PC_PROJETO_DESCRICAO" localSheetId="1">[1]PC!$AP$4</definedName>
    <definedName name="PC_PROJETO_DESCRICAO" localSheetId="2">[2]PC!$AP$4</definedName>
    <definedName name="PC_PROJETO_DESCRICAO">[3]PC!$AP$4</definedName>
    <definedName name="PC_PROJETO_LANCAMENTO" localSheetId="1">[1]PC!$HR$4</definedName>
    <definedName name="PC_PROJETO_LANCAMENTO" localSheetId="2">[2]PC!$HR$4</definedName>
    <definedName name="PC_PROJETO_LANCAMENTO">[3]PC!$HR$4</definedName>
    <definedName name="RIVER">#REF!</definedName>
    <definedName name="TOKIOMAI">#REF!</definedName>
    <definedName name="total_Cost">#REF!</definedName>
    <definedName name="ut">#REF!</definedName>
    <definedName name="ve">#REF!</definedName>
    <definedName name="VELCRO">#REF!</definedName>
    <definedName name="WARLOCK">#REF!</definedName>
    <definedName name="WINNER">#REF!</definedName>
    <definedName name="YUMEI">#REF!</definedName>
    <definedName name="Z_07F24D8C_E939_11DC_A60F_000103D55E81_.wvu.Cols" hidden="1">#REF!</definedName>
    <definedName name="Z_07F24D8C_E939_11DC_A60F_000103D55E81_.wvu.Rows" hidden="1">#REF!</definedName>
    <definedName name="Z_07F24D8E_E939_11DC_A60F_000103D55E81_.wvu.Cols" hidden="1">#REF!</definedName>
    <definedName name="Z_07F24D8E_E939_11DC_A60F_000103D55E81_.wvu.Rows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6" i="7" l="1"/>
  <c r="J35" i="7"/>
  <c r="J34" i="7"/>
  <c r="J33" i="7"/>
  <c r="J32" i="7"/>
  <c r="J31" i="7"/>
  <c r="J30" i="7"/>
  <c r="J29" i="7"/>
  <c r="J28" i="7"/>
  <c r="J27" i="7"/>
  <c r="J36" i="6"/>
  <c r="J35" i="6"/>
  <c r="J34" i="6"/>
  <c r="J33" i="6"/>
  <c r="J32" i="6"/>
  <c r="J31" i="6"/>
  <c r="J30" i="6"/>
  <c r="J29" i="6"/>
  <c r="J28" i="6"/>
  <c r="J27" i="6"/>
  <c r="D37" i="5"/>
  <c r="D36" i="5"/>
  <c r="D35" i="5"/>
  <c r="D34" i="5"/>
  <c r="D33" i="5"/>
  <c r="D32" i="5"/>
  <c r="D31" i="5"/>
  <c r="D30" i="5"/>
  <c r="D29" i="5"/>
  <c r="D28" i="5"/>
  <c r="E29" i="5" l="1"/>
  <c r="E30" i="5"/>
  <c r="E31" i="5"/>
  <c r="E32" i="5"/>
  <c r="E33" i="5"/>
  <c r="F33" i="5" s="1"/>
  <c r="B33" i="5" s="1"/>
  <c r="E34" i="5"/>
  <c r="E35" i="5"/>
  <c r="E36" i="5"/>
  <c r="E37" i="5"/>
  <c r="E28" i="5"/>
  <c r="F32" i="5"/>
  <c r="B32" i="5" s="1"/>
  <c r="C28" i="5"/>
  <c r="F28" i="5" s="1"/>
  <c r="B28" i="5" s="1"/>
  <c r="C29" i="5"/>
  <c r="F37" i="5"/>
  <c r="B37" i="5" s="1"/>
  <c r="C37" i="5"/>
  <c r="C36" i="5"/>
  <c r="C35" i="5"/>
  <c r="C34" i="5"/>
  <c r="C33" i="5"/>
  <c r="C32" i="5"/>
  <c r="C31" i="5"/>
  <c r="F31" i="5" s="1"/>
  <c r="B31" i="5" s="1"/>
  <c r="C30" i="5"/>
  <c r="F30" i="5" s="1"/>
  <c r="B30" i="5" s="1"/>
  <c r="F29" i="5"/>
  <c r="B29" i="5" s="1"/>
  <c r="B26" i="5"/>
  <c r="B25" i="5"/>
  <c r="D4" i="5"/>
  <c r="G29" i="5" l="1"/>
  <c r="G37" i="5"/>
  <c r="G32" i="5"/>
  <c r="G28" i="5"/>
  <c r="G30" i="5"/>
  <c r="G31" i="5"/>
  <c r="G33" i="5"/>
  <c r="F34" i="5"/>
  <c r="B34" i="5" s="1"/>
  <c r="G34" i="5" s="1"/>
  <c r="F36" i="5"/>
  <c r="B36" i="5" s="1"/>
  <c r="G36" i="5" s="1"/>
  <c r="F35" i="5"/>
  <c r="B35" i="5" s="1"/>
  <c r="G35" i="5" s="1"/>
  <c r="M28" i="5" l="1"/>
  <c r="K45" i="3" l="1"/>
  <c r="AG5" i="3" s="1"/>
  <c r="M90" i="3"/>
  <c r="H90" i="3"/>
  <c r="E90" i="3"/>
  <c r="G90" i="3" s="1"/>
  <c r="C90" i="3"/>
  <c r="M89" i="3"/>
  <c r="H89" i="3"/>
  <c r="E89" i="3"/>
  <c r="F89" i="3" s="1"/>
  <c r="C89" i="3"/>
  <c r="M88" i="3"/>
  <c r="H88" i="3"/>
  <c r="E88" i="3"/>
  <c r="G88" i="3" s="1"/>
  <c r="D88" i="3"/>
  <c r="C88" i="3"/>
  <c r="M87" i="3"/>
  <c r="H87" i="3"/>
  <c r="E87" i="3"/>
  <c r="G87" i="3" s="1"/>
  <c r="D87" i="3"/>
  <c r="C87" i="3"/>
  <c r="M86" i="3"/>
  <c r="H86" i="3"/>
  <c r="E86" i="3"/>
  <c r="G86" i="3" s="1"/>
  <c r="D86" i="3"/>
  <c r="C86" i="3"/>
  <c r="M85" i="3"/>
  <c r="H85" i="3"/>
  <c r="E85" i="3"/>
  <c r="G85" i="3" s="1"/>
  <c r="D85" i="3"/>
  <c r="C85" i="3"/>
  <c r="M84" i="3"/>
  <c r="H84" i="3"/>
  <c r="E84" i="3"/>
  <c r="G84" i="3" s="1"/>
  <c r="D84" i="3"/>
  <c r="C84" i="3"/>
  <c r="M83" i="3"/>
  <c r="H83" i="3"/>
  <c r="F83" i="3"/>
  <c r="E83" i="3"/>
  <c r="D83" i="3"/>
  <c r="C83" i="3"/>
  <c r="M82" i="3"/>
  <c r="H82" i="3"/>
  <c r="E82" i="3"/>
  <c r="F82" i="3" s="1"/>
  <c r="D82" i="3"/>
  <c r="C82" i="3"/>
  <c r="M81" i="3"/>
  <c r="H81" i="3"/>
  <c r="E81" i="3"/>
  <c r="D81" i="3"/>
  <c r="C81" i="3"/>
  <c r="M80" i="3"/>
  <c r="H80" i="3"/>
  <c r="E80" i="3"/>
  <c r="G80" i="3" s="1"/>
  <c r="D80" i="3"/>
  <c r="C80" i="3"/>
  <c r="F77" i="3"/>
  <c r="D77" i="3"/>
  <c r="P67" i="3"/>
  <c r="P66" i="3"/>
  <c r="P65" i="3"/>
  <c r="P64" i="3"/>
  <c r="P63" i="3"/>
  <c r="P62" i="3"/>
  <c r="P61" i="3"/>
  <c r="P60" i="3"/>
  <c r="P59" i="3"/>
  <c r="P58" i="3"/>
  <c r="P55" i="3"/>
  <c r="P54" i="3"/>
  <c r="P53" i="3"/>
  <c r="P52" i="3"/>
  <c r="P51" i="3"/>
  <c r="P50" i="3"/>
  <c r="P49" i="3"/>
  <c r="ET48" i="3"/>
  <c r="ES48" i="3"/>
  <c r="EV48" i="3" s="1"/>
  <c r="P48" i="3"/>
  <c r="EU47" i="3"/>
  <c r="ET47" i="3"/>
  <c r="ES47" i="3"/>
  <c r="EV47" i="3" s="1"/>
  <c r="P47" i="3"/>
  <c r="EU46" i="3"/>
  <c r="EV46" i="3" s="1"/>
  <c r="ET46" i="3"/>
  <c r="ES46" i="3"/>
  <c r="P46" i="3"/>
  <c r="ET45" i="3"/>
  <c r="ES45" i="3"/>
  <c r="EV45" i="3" s="1"/>
  <c r="P45" i="3"/>
  <c r="J37" i="3"/>
  <c r="J30" i="3"/>
  <c r="J29" i="3"/>
  <c r="J28" i="3"/>
  <c r="J27" i="3"/>
  <c r="EV24" i="3"/>
  <c r="EV25" i="3" s="1"/>
  <c r="EV23" i="3"/>
  <c r="AQ18" i="3"/>
  <c r="AQ16" i="3"/>
  <c r="AP16" i="3"/>
  <c r="DJ15" i="3"/>
  <c r="AI14" i="3"/>
  <c r="AH14" i="3"/>
  <c r="AG14" i="3"/>
  <c r="AF14" i="3"/>
  <c r="AE14" i="3"/>
  <c r="AD14" i="3"/>
  <c r="AC14" i="3"/>
  <c r="AB14" i="3"/>
  <c r="AA14" i="3"/>
  <c r="Z14" i="3"/>
  <c r="V14" i="3"/>
  <c r="U14" i="3"/>
  <c r="W14" i="3" s="1"/>
  <c r="T14" i="3"/>
  <c r="G14" i="3"/>
  <c r="AI13" i="3"/>
  <c r="AH13" i="3"/>
  <c r="AG13" i="3"/>
  <c r="AF13" i="3"/>
  <c r="AE13" i="3"/>
  <c r="AD13" i="3"/>
  <c r="AC13" i="3"/>
  <c r="AB13" i="3"/>
  <c r="AA13" i="3"/>
  <c r="Z13" i="3"/>
  <c r="V13" i="3"/>
  <c r="U13" i="3"/>
  <c r="T13" i="3"/>
  <c r="G13" i="3"/>
  <c r="AI12" i="3"/>
  <c r="AH12" i="3"/>
  <c r="AG12" i="3"/>
  <c r="AF12" i="3"/>
  <c r="AE12" i="3"/>
  <c r="AD12" i="3"/>
  <c r="AC12" i="3"/>
  <c r="AB12" i="3"/>
  <c r="AA12" i="3"/>
  <c r="Z12" i="3"/>
  <c r="V12" i="3"/>
  <c r="U12" i="3"/>
  <c r="W12" i="3" s="1"/>
  <c r="T12" i="3"/>
  <c r="G12" i="3"/>
  <c r="DE11" i="3"/>
  <c r="AI11" i="3"/>
  <c r="AH11" i="3"/>
  <c r="AG11" i="3"/>
  <c r="AF11" i="3"/>
  <c r="AE11" i="3"/>
  <c r="AD11" i="3"/>
  <c r="AC11" i="3"/>
  <c r="AB11" i="3"/>
  <c r="AA11" i="3"/>
  <c r="Z11" i="3"/>
  <c r="V11" i="3"/>
  <c r="W11" i="3" s="1"/>
  <c r="U11" i="3"/>
  <c r="T11" i="3"/>
  <c r="G11" i="3"/>
  <c r="DK10" i="3"/>
  <c r="AI10" i="3"/>
  <c r="AH10" i="3"/>
  <c r="AG10" i="3"/>
  <c r="AF10" i="3"/>
  <c r="AE10" i="3"/>
  <c r="AD10" i="3"/>
  <c r="AC10" i="3"/>
  <c r="AB10" i="3"/>
  <c r="AA10" i="3"/>
  <c r="Z10" i="3"/>
  <c r="V10" i="3"/>
  <c r="U10" i="3"/>
  <c r="T10" i="3"/>
  <c r="DK9" i="3"/>
  <c r="AI9" i="3"/>
  <c r="AH9" i="3"/>
  <c r="AG9" i="3"/>
  <c r="AF9" i="3"/>
  <c r="AE9" i="3"/>
  <c r="AD9" i="3"/>
  <c r="AC9" i="3"/>
  <c r="AB9" i="3"/>
  <c r="AA9" i="3"/>
  <c r="Z9" i="3"/>
  <c r="V9" i="3"/>
  <c r="U9" i="3"/>
  <c r="T9" i="3"/>
  <c r="FI8" i="3"/>
  <c r="FF8" i="3"/>
  <c r="DK8" i="3"/>
  <c r="DK11" i="3" s="1"/>
  <c r="AI8" i="3"/>
  <c r="AH8" i="3"/>
  <c r="AG8" i="3"/>
  <c r="AF8" i="3"/>
  <c r="AE8" i="3"/>
  <c r="AD8" i="3"/>
  <c r="AC8" i="3"/>
  <c r="AB8" i="3"/>
  <c r="AA8" i="3"/>
  <c r="Z8" i="3"/>
  <c r="V8" i="3"/>
  <c r="U8" i="3"/>
  <c r="T8" i="3"/>
  <c r="H8" i="3"/>
  <c r="FI7" i="3"/>
  <c r="FI9" i="3" s="1"/>
  <c r="FF7" i="3"/>
  <c r="FF9" i="3" s="1"/>
  <c r="AI7" i="3"/>
  <c r="AH7" i="3"/>
  <c r="AG7" i="3"/>
  <c r="AF7" i="3"/>
  <c r="AE7" i="3"/>
  <c r="AD7" i="3"/>
  <c r="AC7" i="3"/>
  <c r="AB7" i="3"/>
  <c r="AA7" i="3"/>
  <c r="Z7" i="3"/>
  <c r="V7" i="3"/>
  <c r="U7" i="3"/>
  <c r="W7" i="3" s="1"/>
  <c r="T7" i="3"/>
  <c r="AI6" i="3"/>
  <c r="AH6" i="3"/>
  <c r="AG6" i="3"/>
  <c r="AF6" i="3"/>
  <c r="AE6" i="3"/>
  <c r="AD6" i="3"/>
  <c r="AC6" i="3"/>
  <c r="AB6" i="3"/>
  <c r="AA6" i="3"/>
  <c r="Z6" i="3"/>
  <c r="V6" i="3"/>
  <c r="U6" i="3"/>
  <c r="W6" i="3" s="1"/>
  <c r="T6" i="3"/>
  <c r="AQ5" i="3"/>
  <c r="AI5" i="3"/>
  <c r="AH5" i="3"/>
  <c r="AF5" i="3"/>
  <c r="AE5" i="3"/>
  <c r="AD5" i="3"/>
  <c r="AC5" i="3"/>
  <c r="AB5" i="3"/>
  <c r="AA5" i="3"/>
  <c r="Z5" i="3"/>
  <c r="V5" i="3"/>
  <c r="W5" i="3" s="1"/>
  <c r="U5" i="3"/>
  <c r="T5" i="3"/>
  <c r="CY4" i="3"/>
  <c r="CY15" i="3" s="1"/>
  <c r="CY3" i="3"/>
  <c r="CY13" i="3" s="1"/>
  <c r="AK3" i="3"/>
  <c r="CY2" i="3"/>
  <c r="CY5" i="3" s="1"/>
  <c r="AN1" i="3"/>
  <c r="AK1" i="3"/>
  <c r="M90" i="2"/>
  <c r="H90" i="2"/>
  <c r="G90" i="2"/>
  <c r="F90" i="2"/>
  <c r="E90" i="2"/>
  <c r="C90" i="2"/>
  <c r="M89" i="2"/>
  <c r="H89" i="2"/>
  <c r="E89" i="2"/>
  <c r="F89" i="2" s="1"/>
  <c r="C89" i="2"/>
  <c r="M88" i="2"/>
  <c r="H88" i="2"/>
  <c r="F88" i="2"/>
  <c r="E88" i="2"/>
  <c r="G88" i="2" s="1"/>
  <c r="D88" i="2"/>
  <c r="C88" i="2"/>
  <c r="M87" i="2"/>
  <c r="H87" i="2"/>
  <c r="E87" i="2"/>
  <c r="G87" i="2" s="1"/>
  <c r="D87" i="2"/>
  <c r="C87" i="2"/>
  <c r="M86" i="2"/>
  <c r="H86" i="2"/>
  <c r="E86" i="2"/>
  <c r="G86" i="2" s="1"/>
  <c r="D86" i="2"/>
  <c r="C86" i="2"/>
  <c r="M85" i="2"/>
  <c r="H85" i="2"/>
  <c r="E85" i="2"/>
  <c r="G85" i="2" s="1"/>
  <c r="D85" i="2"/>
  <c r="C85" i="2"/>
  <c r="M84" i="2"/>
  <c r="H84" i="2"/>
  <c r="E84" i="2"/>
  <c r="G84" i="2" s="1"/>
  <c r="D84" i="2"/>
  <c r="C84" i="2"/>
  <c r="M83" i="2"/>
  <c r="H83" i="2"/>
  <c r="E83" i="2"/>
  <c r="G83" i="2" s="1"/>
  <c r="D83" i="2"/>
  <c r="C83" i="2"/>
  <c r="M82" i="2"/>
  <c r="H82" i="2"/>
  <c r="E82" i="2"/>
  <c r="F82" i="2" s="1"/>
  <c r="D82" i="2"/>
  <c r="C82" i="2"/>
  <c r="M81" i="2"/>
  <c r="H81" i="2"/>
  <c r="E81" i="2"/>
  <c r="G81" i="2" s="1"/>
  <c r="D81" i="2"/>
  <c r="C81" i="2"/>
  <c r="M80" i="2"/>
  <c r="H80" i="2"/>
  <c r="E80" i="2"/>
  <c r="G80" i="2" s="1"/>
  <c r="D80" i="2"/>
  <c r="C80" i="2"/>
  <c r="F77" i="2"/>
  <c r="D77" i="2"/>
  <c r="P67" i="2"/>
  <c r="P66" i="2"/>
  <c r="P65" i="2"/>
  <c r="P64" i="2"/>
  <c r="P63" i="2"/>
  <c r="P62" i="2"/>
  <c r="P61" i="2"/>
  <c r="P60" i="2"/>
  <c r="P59" i="2"/>
  <c r="P58" i="2"/>
  <c r="P55" i="2"/>
  <c r="P54" i="2"/>
  <c r="P53" i="2"/>
  <c r="P52" i="2"/>
  <c r="EV51" i="2"/>
  <c r="ET51" i="2"/>
  <c r="P51" i="2"/>
  <c r="EV50" i="2"/>
  <c r="ET50" i="2"/>
  <c r="P50" i="2"/>
  <c r="EV49" i="2"/>
  <c r="ET49" i="2"/>
  <c r="P49" i="2"/>
  <c r="EV48" i="2"/>
  <c r="ET48" i="2"/>
  <c r="P48" i="2"/>
  <c r="EV47" i="2"/>
  <c r="ET47" i="2"/>
  <c r="P47" i="2"/>
  <c r="EV46" i="2"/>
  <c r="ET46" i="2"/>
  <c r="P46" i="2"/>
  <c r="EV45" i="2"/>
  <c r="ET45" i="2"/>
  <c r="ES45" i="2"/>
  <c r="P45" i="2"/>
  <c r="J37" i="2"/>
  <c r="J33" i="2"/>
  <c r="J32" i="2"/>
  <c r="T10" i="2" s="1"/>
  <c r="J31" i="2"/>
  <c r="J30" i="2"/>
  <c r="J29" i="2"/>
  <c r="J28" i="2"/>
  <c r="J27" i="2"/>
  <c r="AQ18" i="2"/>
  <c r="G17" i="2"/>
  <c r="AQ16" i="2"/>
  <c r="AP16" i="2"/>
  <c r="G16" i="2"/>
  <c r="DJ15" i="2"/>
  <c r="G15" i="2"/>
  <c r="AI14" i="2"/>
  <c r="AH14" i="2"/>
  <c r="AG14" i="2"/>
  <c r="AF14" i="2"/>
  <c r="AE14" i="2"/>
  <c r="AD14" i="2"/>
  <c r="AC14" i="2"/>
  <c r="AB14" i="2"/>
  <c r="AA14" i="2"/>
  <c r="Z14" i="2"/>
  <c r="V14" i="2"/>
  <c r="W14" i="2" s="1"/>
  <c r="U14" i="2"/>
  <c r="T14" i="2"/>
  <c r="G14" i="2"/>
  <c r="AI13" i="2"/>
  <c r="AH13" i="2"/>
  <c r="AG13" i="2"/>
  <c r="AM13" i="2" s="1"/>
  <c r="AF13" i="2"/>
  <c r="AE13" i="2"/>
  <c r="AD13" i="2"/>
  <c r="AC13" i="2"/>
  <c r="AK13" i="2" s="1"/>
  <c r="AB13" i="2"/>
  <c r="AA13" i="2"/>
  <c r="Z13" i="2"/>
  <c r="V13" i="2"/>
  <c r="U13" i="2"/>
  <c r="T13" i="2"/>
  <c r="G13" i="2"/>
  <c r="CT12" i="2"/>
  <c r="CT14" i="2" s="1"/>
  <c r="AI12" i="2"/>
  <c r="AH12" i="2"/>
  <c r="AG12" i="2"/>
  <c r="AF12" i="2"/>
  <c r="AE12" i="2"/>
  <c r="AD12" i="2"/>
  <c r="AL12" i="2" s="1"/>
  <c r="AC12" i="2"/>
  <c r="AB12" i="2"/>
  <c r="AA12" i="2"/>
  <c r="Z12" i="2"/>
  <c r="V12" i="2"/>
  <c r="U12" i="2"/>
  <c r="T12" i="2"/>
  <c r="G12" i="2"/>
  <c r="DE11" i="2"/>
  <c r="AI11" i="2"/>
  <c r="AH11" i="2"/>
  <c r="AG11" i="2"/>
  <c r="AF11" i="2"/>
  <c r="AE11" i="2"/>
  <c r="AD11" i="2"/>
  <c r="AC11" i="2"/>
  <c r="AK11" i="2" s="1"/>
  <c r="AB11" i="2"/>
  <c r="AA11" i="2"/>
  <c r="Z11" i="2"/>
  <c r="V11" i="2"/>
  <c r="U11" i="2"/>
  <c r="W11" i="2" s="1"/>
  <c r="T11" i="2"/>
  <c r="G11" i="2"/>
  <c r="DK10" i="2"/>
  <c r="AI10" i="2"/>
  <c r="AH10" i="2"/>
  <c r="AG10" i="2"/>
  <c r="AF10" i="2"/>
  <c r="AE10" i="2"/>
  <c r="AD10" i="2"/>
  <c r="AC10" i="2"/>
  <c r="AB10" i="2"/>
  <c r="AA10" i="2"/>
  <c r="Z10" i="2"/>
  <c r="V10" i="2"/>
  <c r="U10" i="2"/>
  <c r="W10" i="2" s="1"/>
  <c r="DK9" i="2"/>
  <c r="AI9" i="2"/>
  <c r="AH9" i="2"/>
  <c r="AG9" i="2"/>
  <c r="AF9" i="2"/>
  <c r="AE9" i="2"/>
  <c r="AD9" i="2"/>
  <c r="AC9" i="2"/>
  <c r="AK9" i="2" s="1"/>
  <c r="AB9" i="2"/>
  <c r="AA9" i="2"/>
  <c r="AL9" i="2" s="1"/>
  <c r="Z9" i="2"/>
  <c r="V9" i="2"/>
  <c r="U9" i="2"/>
  <c r="W9" i="2" s="1"/>
  <c r="T9" i="2"/>
  <c r="FI8" i="2"/>
  <c r="FF8" i="2"/>
  <c r="DK8" i="2"/>
  <c r="AI8" i="2"/>
  <c r="AH8" i="2"/>
  <c r="AG8" i="2"/>
  <c r="AM8" i="2" s="1"/>
  <c r="AF8" i="2"/>
  <c r="AE8" i="2"/>
  <c r="AD8" i="2"/>
  <c r="AL8" i="2" s="1"/>
  <c r="AC8" i="2"/>
  <c r="AK8" i="2" s="1"/>
  <c r="AB8" i="2"/>
  <c r="AA8" i="2"/>
  <c r="Z8" i="2"/>
  <c r="V8" i="2"/>
  <c r="U8" i="2"/>
  <c r="W8" i="2" s="1"/>
  <c r="T8" i="2"/>
  <c r="H8" i="2"/>
  <c r="FI7" i="2"/>
  <c r="FI9" i="2" s="1"/>
  <c r="FF7" i="2"/>
  <c r="FF9" i="2" s="1"/>
  <c r="AI7" i="2"/>
  <c r="AH7" i="2"/>
  <c r="AG7" i="2"/>
  <c r="AF7" i="2"/>
  <c r="AE7" i="2"/>
  <c r="AD7" i="2"/>
  <c r="AC7" i="2"/>
  <c r="AK7" i="2" s="1"/>
  <c r="AB7" i="2"/>
  <c r="AA7" i="2"/>
  <c r="Z7" i="2"/>
  <c r="V7" i="2"/>
  <c r="U7" i="2"/>
  <c r="W7" i="2" s="1"/>
  <c r="T7" i="2"/>
  <c r="AI6" i="2"/>
  <c r="AH6" i="2"/>
  <c r="AG6" i="2"/>
  <c r="AF6" i="2"/>
  <c r="AE6" i="2"/>
  <c r="AD6" i="2"/>
  <c r="AC6" i="2"/>
  <c r="AK6" i="2" s="1"/>
  <c r="AB6" i="2"/>
  <c r="AA6" i="2"/>
  <c r="AL6" i="2" s="1"/>
  <c r="Z6" i="2"/>
  <c r="V6" i="2"/>
  <c r="U6" i="2"/>
  <c r="W6" i="2" s="1"/>
  <c r="T6" i="2"/>
  <c r="AM9" i="2" s="1"/>
  <c r="AQ5" i="2"/>
  <c r="AI5" i="2"/>
  <c r="AH5" i="2"/>
  <c r="AG5" i="2"/>
  <c r="AF5" i="2"/>
  <c r="AE5" i="2"/>
  <c r="AD5" i="2"/>
  <c r="AC5" i="2"/>
  <c r="AK5" i="2" s="1"/>
  <c r="AB5" i="2"/>
  <c r="AA5" i="2"/>
  <c r="AL5" i="2" s="1"/>
  <c r="Z5" i="2"/>
  <c r="V5" i="2"/>
  <c r="V15" i="2" s="1"/>
  <c r="U5" i="2"/>
  <c r="W5" i="2" s="1"/>
  <c r="AP8" i="2" s="1"/>
  <c r="T5" i="2"/>
  <c r="CY4" i="2"/>
  <c r="CY15" i="2" s="1"/>
  <c r="CY3" i="2"/>
  <c r="CY2" i="2"/>
  <c r="CY12" i="2" s="1"/>
  <c r="CY14" i="2" s="1"/>
  <c r="AN1" i="2"/>
  <c r="AK1" i="2"/>
  <c r="AK3" i="2" s="1"/>
  <c r="AL7" i="3" l="1"/>
  <c r="AK10" i="3"/>
  <c r="AL11" i="3"/>
  <c r="AK14" i="3"/>
  <c r="AL8" i="3"/>
  <c r="AL5" i="3"/>
  <c r="AK11" i="3"/>
  <c r="AM9" i="3"/>
  <c r="AK5" i="3"/>
  <c r="AK12" i="3"/>
  <c r="AM10" i="2"/>
  <c r="W12" i="2"/>
  <c r="G82" i="2"/>
  <c r="F86" i="2"/>
  <c r="W13" i="2"/>
  <c r="AM11" i="2"/>
  <c r="AK12" i="2"/>
  <c r="M91" i="2"/>
  <c r="AL10" i="2"/>
  <c r="AZ17" i="2" s="1"/>
  <c r="U15" i="2"/>
  <c r="CY5" i="2"/>
  <c r="AM7" i="2"/>
  <c r="F85" i="2"/>
  <c r="AM12" i="2"/>
  <c r="AL13" i="2"/>
  <c r="CT15" i="2"/>
  <c r="CT16" i="2" s="1"/>
  <c r="AM5" i="2"/>
  <c r="F83" i="2"/>
  <c r="AM6" i="2"/>
  <c r="DK11" i="2"/>
  <c r="AQ6" i="2" s="1"/>
  <c r="AQ17" i="2" s="1"/>
  <c r="AK14" i="2"/>
  <c r="AL14" i="2"/>
  <c r="AM10" i="3"/>
  <c r="W8" i="3"/>
  <c r="AM5" i="3"/>
  <c r="AM6" i="3"/>
  <c r="W9" i="3"/>
  <c r="AM11" i="3"/>
  <c r="W13" i="3"/>
  <c r="G82" i="3"/>
  <c r="G89" i="3"/>
  <c r="U15" i="3"/>
  <c r="AL12" i="3"/>
  <c r="W10" i="3"/>
  <c r="CT15" i="3"/>
  <c r="AL13" i="3"/>
  <c r="M91" i="3"/>
  <c r="AK8" i="3"/>
  <c r="AM8" i="3"/>
  <c r="AK9" i="3"/>
  <c r="AL10" i="3"/>
  <c r="AK13" i="3"/>
  <c r="AL14" i="3"/>
  <c r="G83" i="3"/>
  <c r="AL6" i="3"/>
  <c r="G81" i="3"/>
  <c r="G91" i="3" s="1"/>
  <c r="E92" i="3" s="1"/>
  <c r="DJ18" i="3"/>
  <c r="AQ6" i="3"/>
  <c r="AK6" i="3"/>
  <c r="AK15" i="3" s="1"/>
  <c r="AK7" i="3"/>
  <c r="AP8" i="3"/>
  <c r="AP9" i="3"/>
  <c r="F84" i="3"/>
  <c r="V15" i="3"/>
  <c r="CT12" i="3"/>
  <c r="CT14" i="3" s="1"/>
  <c r="CT16" i="3" s="1"/>
  <c r="CT13" i="3"/>
  <c r="F86" i="3"/>
  <c r="CY12" i="3"/>
  <c r="CY14" i="3" s="1"/>
  <c r="CY16" i="3" s="1"/>
  <c r="F81" i="3"/>
  <c r="AM12" i="3"/>
  <c r="DE12" i="3"/>
  <c r="DE13" i="3" s="1"/>
  <c r="DE16" i="3" s="1"/>
  <c r="DE17" i="3" s="1"/>
  <c r="F88" i="3"/>
  <c r="F90" i="3"/>
  <c r="AM7" i="3"/>
  <c r="AL9" i="3"/>
  <c r="F85" i="3"/>
  <c r="F80" i="3"/>
  <c r="AM14" i="3"/>
  <c r="F87" i="3"/>
  <c r="AM13" i="3"/>
  <c r="DJ18" i="2"/>
  <c r="AM14" i="2"/>
  <c r="CY16" i="2"/>
  <c r="CY13" i="2"/>
  <c r="G89" i="2"/>
  <c r="G91" i="2" s="1"/>
  <c r="E92" i="2" s="1"/>
  <c r="AP14" i="2"/>
  <c r="AQ14" i="2" s="1"/>
  <c r="AL11" i="2"/>
  <c r="F84" i="2"/>
  <c r="CT13" i="2"/>
  <c r="DE12" i="2"/>
  <c r="DE13" i="2" s="1"/>
  <c r="DE16" i="2" s="1"/>
  <c r="DE17" i="2" s="1"/>
  <c r="F81" i="2"/>
  <c r="AP9" i="2"/>
  <c r="AL7" i="2"/>
  <c r="F80" i="2"/>
  <c r="F87" i="2"/>
  <c r="BA16" i="3" l="1"/>
  <c r="BA27" i="3" s="1"/>
  <c r="CT19" i="2"/>
  <c r="CT22" i="2" s="1"/>
  <c r="DE10" i="2"/>
  <c r="AJ9" i="2"/>
  <c r="AP12" i="2"/>
  <c r="AQ12" i="2" s="1"/>
  <c r="AJ10" i="2"/>
  <c r="AJ6" i="2"/>
  <c r="AP13" i="2"/>
  <c r="AQ13" i="2" s="1"/>
  <c r="BA16" i="2"/>
  <c r="BA18" i="2" s="1"/>
  <c r="BB16" i="2"/>
  <c r="BV20" i="2" s="1"/>
  <c r="AJ5" i="2"/>
  <c r="AJ8" i="2"/>
  <c r="AJ13" i="2"/>
  <c r="AJ7" i="2"/>
  <c r="AK10" i="2"/>
  <c r="AK15" i="2" s="1"/>
  <c r="AJ12" i="2"/>
  <c r="BA17" i="2"/>
  <c r="AZ16" i="2"/>
  <c r="AZ18" i="2" s="1"/>
  <c r="AJ14" i="2"/>
  <c r="AJ11" i="2"/>
  <c r="BB17" i="3"/>
  <c r="AP12" i="3"/>
  <c r="AQ12" i="3" s="1"/>
  <c r="AP13" i="3"/>
  <c r="AQ13" i="3" s="1"/>
  <c r="AP14" i="3"/>
  <c r="AQ14" i="3" s="1"/>
  <c r="AZ16" i="3"/>
  <c r="CD15" i="3" s="1"/>
  <c r="BA17" i="3"/>
  <c r="DF10" i="3"/>
  <c r="CY19" i="3"/>
  <c r="CY22" i="3" s="1"/>
  <c r="BB16" i="3"/>
  <c r="AZ17" i="3"/>
  <c r="DE10" i="3"/>
  <c r="CT19" i="3"/>
  <c r="CT22" i="3" s="1"/>
  <c r="AQ17" i="3"/>
  <c r="AJ14" i="3"/>
  <c r="AJ13" i="3"/>
  <c r="AJ12" i="3"/>
  <c r="AJ7" i="3"/>
  <c r="AJ11" i="3"/>
  <c r="AJ5" i="3"/>
  <c r="AJ8" i="3"/>
  <c r="AJ9" i="3"/>
  <c r="AJ10" i="3"/>
  <c r="AJ6" i="3"/>
  <c r="BB26" i="2"/>
  <c r="BA28" i="2"/>
  <c r="BA26" i="2"/>
  <c r="DF10" i="2"/>
  <c r="CY19" i="2"/>
  <c r="CY22" i="2" s="1"/>
  <c r="AZ25" i="2"/>
  <c r="AZ28" i="2"/>
  <c r="CD15" i="2"/>
  <c r="AZ27" i="2"/>
  <c r="AZ21" i="2"/>
  <c r="AZ31" i="2" s="1"/>
  <c r="AZ19" i="2"/>
  <c r="AZ29" i="2" s="1"/>
  <c r="AZ23" i="2"/>
  <c r="AZ35" i="2" s="1"/>
  <c r="CD17" i="2"/>
  <c r="BV15" i="2"/>
  <c r="AZ20" i="2"/>
  <c r="BV18" i="2"/>
  <c r="BJ15" i="2"/>
  <c r="BJ14" i="2"/>
  <c r="AZ22" i="2"/>
  <c r="BJ17" i="2"/>
  <c r="CD16" i="2"/>
  <c r="BB17" i="2"/>
  <c r="DE14" i="2"/>
  <c r="DE15" i="2" s="1"/>
  <c r="DE18" i="2"/>
  <c r="BA25" i="3" l="1"/>
  <c r="BA23" i="3"/>
  <c r="BA35" i="3" s="1"/>
  <c r="BA28" i="3"/>
  <c r="BA26" i="3"/>
  <c r="BA19" i="3"/>
  <c r="BA29" i="3" s="1"/>
  <c r="BV19" i="3"/>
  <c r="BA21" i="3"/>
  <c r="BA31" i="3" s="1"/>
  <c r="CE15" i="3"/>
  <c r="CP15" i="3"/>
  <c r="BA18" i="3"/>
  <c r="BK17" i="3"/>
  <c r="BA22" i="3"/>
  <c r="BA33" i="3" s="1"/>
  <c r="BA20" i="3"/>
  <c r="BA30" i="3" s="1"/>
  <c r="CE16" i="3"/>
  <c r="CP18" i="3"/>
  <c r="AZ28" i="3"/>
  <c r="CE14" i="3"/>
  <c r="BJ14" i="3"/>
  <c r="CD17" i="3"/>
  <c r="BJ15" i="3"/>
  <c r="BK14" i="3"/>
  <c r="BJ16" i="3"/>
  <c r="AZ27" i="3"/>
  <c r="CP19" i="3"/>
  <c r="BK15" i="3"/>
  <c r="BA24" i="3"/>
  <c r="BA34" i="3" s="1"/>
  <c r="AZ24" i="3"/>
  <c r="BK16" i="3"/>
  <c r="AZ18" i="3"/>
  <c r="CE17" i="3"/>
  <c r="BJ17" i="3"/>
  <c r="BB18" i="2"/>
  <c r="CP20" i="2"/>
  <c r="BB28" i="2"/>
  <c r="BB23" i="2"/>
  <c r="BB35" i="2" s="1"/>
  <c r="BK16" i="2"/>
  <c r="BB21" i="2"/>
  <c r="BL17" i="2"/>
  <c r="CE17" i="2"/>
  <c r="BA23" i="2"/>
  <c r="BA35" i="2" s="1"/>
  <c r="CE15" i="2"/>
  <c r="CF15" i="2"/>
  <c r="BK14" i="2"/>
  <c r="BB25" i="2"/>
  <c r="BA27" i="2"/>
  <c r="CD14" i="2"/>
  <c r="CP17" i="2"/>
  <c r="CE16" i="2"/>
  <c r="BV19" i="2"/>
  <c r="BV21" i="2" s="1"/>
  <c r="BB27" i="2"/>
  <c r="CP18" i="2"/>
  <c r="CP21" i="2" s="1"/>
  <c r="BK17" i="2"/>
  <c r="BA24" i="2"/>
  <c r="BA34" i="2" s="1"/>
  <c r="BB22" i="2"/>
  <c r="BB33" i="2" s="1"/>
  <c r="BB24" i="2"/>
  <c r="BB34" i="2" s="1"/>
  <c r="BJ16" i="2"/>
  <c r="CP19" i="2"/>
  <c r="BL15" i="2"/>
  <c r="CF17" i="2"/>
  <c r="BL16" i="2"/>
  <c r="BL14" i="2"/>
  <c r="BA25" i="2"/>
  <c r="BA21" i="2"/>
  <c r="BA31" i="2" s="1"/>
  <c r="CF16" i="2"/>
  <c r="AZ26" i="2"/>
  <c r="BA22" i="2"/>
  <c r="BA32" i="2" s="1"/>
  <c r="BB20" i="2"/>
  <c r="BB30" i="2" s="1"/>
  <c r="AZ24" i="2"/>
  <c r="AZ34" i="2" s="1"/>
  <c r="BA19" i="2"/>
  <c r="BA29" i="2" s="1"/>
  <c r="BB19" i="2"/>
  <c r="CP15" i="2"/>
  <c r="CP16" i="2"/>
  <c r="BK15" i="2"/>
  <c r="CE14" i="2"/>
  <c r="CF14" i="2"/>
  <c r="BV16" i="2"/>
  <c r="BV17" i="2"/>
  <c r="BA20" i="2"/>
  <c r="BA30" i="2" s="1"/>
  <c r="CD14" i="3"/>
  <c r="AZ22" i="3"/>
  <c r="AZ32" i="3" s="1"/>
  <c r="BV18" i="3"/>
  <c r="AZ19" i="3"/>
  <c r="AZ23" i="3"/>
  <c r="AZ35" i="3" s="1"/>
  <c r="AZ26" i="3"/>
  <c r="AZ20" i="3"/>
  <c r="AZ21" i="3"/>
  <c r="CD16" i="3"/>
  <c r="BV15" i="3"/>
  <c r="AZ25" i="3"/>
  <c r="CP17" i="3"/>
  <c r="BV17" i="3"/>
  <c r="BV16" i="3"/>
  <c r="CP16" i="3"/>
  <c r="DE14" i="3"/>
  <c r="DE15" i="3" s="1"/>
  <c r="DE18" i="3"/>
  <c r="CF15" i="3"/>
  <c r="BB21" i="3"/>
  <c r="BB19" i="3"/>
  <c r="BB26" i="3"/>
  <c r="BB23" i="3"/>
  <c r="BB35" i="3" s="1"/>
  <c r="CF14" i="3"/>
  <c r="BB24" i="3"/>
  <c r="CF17" i="3"/>
  <c r="CP20" i="3"/>
  <c r="BL15" i="3"/>
  <c r="BV20" i="3"/>
  <c r="BL14" i="3"/>
  <c r="BB28" i="3"/>
  <c r="BB25" i="3"/>
  <c r="BB20" i="3"/>
  <c r="CF16" i="3"/>
  <c r="BB22" i="3"/>
  <c r="BL17" i="3"/>
  <c r="BB27" i="3"/>
  <c r="BL16" i="3"/>
  <c r="BB18" i="3"/>
  <c r="DF14" i="3"/>
  <c r="DF15" i="3" s="1"/>
  <c r="DF18" i="3"/>
  <c r="DF14" i="2"/>
  <c r="DF15" i="2" s="1"/>
  <c r="DF18" i="2"/>
  <c r="AZ30" i="2"/>
  <c r="DE21" i="2"/>
  <c r="AZ33" i="2"/>
  <c r="AZ32" i="2"/>
  <c r="BA33" i="2"/>
  <c r="AZ33" i="3" l="1"/>
  <c r="BA32" i="3"/>
  <c r="BV21" i="3"/>
  <c r="AZ30" i="3"/>
  <c r="CP21" i="3"/>
  <c r="AZ34" i="3"/>
  <c r="AZ31" i="3"/>
  <c r="AZ29" i="3"/>
  <c r="BB32" i="2"/>
  <c r="BB31" i="2"/>
  <c r="BB29" i="2"/>
  <c r="DE21" i="3"/>
  <c r="BB33" i="3"/>
  <c r="BB32" i="3"/>
  <c r="BB29" i="3"/>
  <c r="BB34" i="3"/>
  <c r="BB30" i="3"/>
  <c r="BB3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mpr_gabriela</author>
  </authors>
  <commentList>
    <comment ref="AK4" authorId="0" shapeId="0" xr:uid="{C6E4C4CA-665C-4785-AF8F-814D19A91D7B}">
      <text>
        <r>
          <rPr>
            <b/>
            <sz val="9"/>
            <color indexed="81"/>
            <rFont val="Tahoma"/>
            <family val="2"/>
          </rPr>
          <t>mpr_gabriela:
Condicional. Só será considerado o tempo de contar quando for mais que um número cortado na mesma sequencia. Contagem das placas para acondicionamento</t>
        </r>
      </text>
    </comment>
    <comment ref="DD9" authorId="0" shapeId="0" xr:uid="{A47A6D5A-1082-4B4A-9DCD-887A51F5305B}">
      <text>
        <r>
          <rPr>
            <b/>
            <sz val="9"/>
            <color indexed="81"/>
            <rFont val="Segoe UI"/>
            <family val="2"/>
          </rPr>
          <t>mpr_gabriela:</t>
        </r>
        <r>
          <rPr>
            <sz val="9"/>
            <color indexed="81"/>
            <rFont val="Segoe UI"/>
            <family val="2"/>
          </rPr>
          <t xml:space="preserve">
Peso total em material na caixa não pode ultrapassar 12,5 kg</t>
        </r>
      </text>
    </comment>
    <comment ref="DD10" authorId="0" shapeId="0" xr:uid="{930001C9-E9C9-4CBC-BE6F-E9546175812D}">
      <text>
        <r>
          <rPr>
            <b/>
            <sz val="9"/>
            <color indexed="81"/>
            <rFont val="Segoe UI"/>
            <family val="2"/>
          </rPr>
          <t>mpr_gabriela:</t>
        </r>
        <r>
          <rPr>
            <sz val="9"/>
            <color indexed="81"/>
            <rFont val="Segoe UI"/>
            <family val="2"/>
          </rPr>
          <t xml:space="preserve">
Maior quantidade de placas que cabe na caixa</t>
        </r>
      </text>
    </comment>
    <comment ref="DD16" authorId="0" shapeId="0" xr:uid="{CCEEE614-ABAD-437C-AC6F-35788680C86A}">
      <text>
        <r>
          <rPr>
            <b/>
            <sz val="9"/>
            <color indexed="81"/>
            <rFont val="Segoe UI"/>
            <family val="2"/>
          </rPr>
          <t>mpr_gabriela:</t>
        </r>
        <r>
          <rPr>
            <sz val="9"/>
            <color indexed="81"/>
            <rFont val="Segoe UI"/>
            <family val="2"/>
          </rPr>
          <t xml:space="preserve">
Nº máximo de placas possíveis de acondicionar, sem ultrapassar o peso máximo de material na caixa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mpr_gabriela</author>
  </authors>
  <commentList>
    <comment ref="AK4" authorId="0" shapeId="0" xr:uid="{597E118B-FEAE-4048-A569-5921403DD4B5}">
      <text>
        <r>
          <rPr>
            <b/>
            <sz val="9"/>
            <color indexed="81"/>
            <rFont val="Tahoma"/>
            <family val="2"/>
          </rPr>
          <t>mpr_gabriela:
Condicional. Só será considerado o tempo de contar quando for mais que um número cortado na mesma sequencia. Contagem das placas para acondicionamento</t>
        </r>
      </text>
    </comment>
    <comment ref="DD9" authorId="0" shapeId="0" xr:uid="{1F8285D2-61D9-4FFA-936E-E66B2EC600BD}">
      <text>
        <r>
          <rPr>
            <b/>
            <sz val="9"/>
            <color indexed="81"/>
            <rFont val="Segoe UI"/>
            <family val="2"/>
          </rPr>
          <t>mpr_gabriela:</t>
        </r>
        <r>
          <rPr>
            <sz val="9"/>
            <color indexed="81"/>
            <rFont val="Segoe UI"/>
            <family val="2"/>
          </rPr>
          <t xml:space="preserve">
Peso total em material na caixa não pode ultrapassar 12,5 kg</t>
        </r>
      </text>
    </comment>
    <comment ref="DD10" authorId="0" shapeId="0" xr:uid="{C9C0CCDE-7B86-4617-8DA0-8BC1BC421EAA}">
      <text>
        <r>
          <rPr>
            <b/>
            <sz val="9"/>
            <color indexed="81"/>
            <rFont val="Segoe UI"/>
            <family val="2"/>
          </rPr>
          <t>mpr_gabriela:</t>
        </r>
        <r>
          <rPr>
            <sz val="9"/>
            <color indexed="81"/>
            <rFont val="Segoe UI"/>
            <family val="2"/>
          </rPr>
          <t xml:space="preserve">
Maior quantidade de placas que cabe na caixa</t>
        </r>
      </text>
    </comment>
    <comment ref="DD16" authorId="0" shapeId="0" xr:uid="{5B74A473-7CC8-470D-852A-DA7D3697A8F0}">
      <text>
        <r>
          <rPr>
            <b/>
            <sz val="9"/>
            <color indexed="81"/>
            <rFont val="Segoe UI"/>
            <family val="2"/>
          </rPr>
          <t>mpr_gabriela:</t>
        </r>
        <r>
          <rPr>
            <sz val="9"/>
            <color indexed="81"/>
            <rFont val="Segoe UI"/>
            <family val="2"/>
          </rPr>
          <t xml:space="preserve">
Nº máximo de placas possíveis de acondicionar, sem ultrapassar o peso máximo de material na caixa</t>
        </r>
      </text>
    </comment>
  </commentList>
</comments>
</file>

<file path=xl/sharedStrings.xml><?xml version="1.0" encoding="utf-8"?>
<sst xmlns="http://schemas.openxmlformats.org/spreadsheetml/2006/main" count="1013" uniqueCount="368">
  <si>
    <t>Volume da Caixa em cm³</t>
  </si>
  <si>
    <t>Área total da placa</t>
  </si>
  <si>
    <t>Largura</t>
  </si>
  <si>
    <t xml:space="preserve"> </t>
  </si>
  <si>
    <t>MODELO_39510A_MELISSA X BEND AD</t>
  </si>
  <si>
    <t>Medidas das Navalhas</t>
  </si>
  <si>
    <t>Informações de batidas nas sequências do Sistema de Corte</t>
  </si>
  <si>
    <t>Resumo</t>
  </si>
  <si>
    <t>Dados do Projeto</t>
  </si>
  <si>
    <t>Imagem do Projeto</t>
  </si>
  <si>
    <t>Comprimento</t>
  </si>
  <si>
    <t>BALANCIM PONTE</t>
  </si>
  <si>
    <t>PARES POR HORA (Sobral/Fortaleza):</t>
  </si>
  <si>
    <t>ID</t>
  </si>
  <si>
    <t>Núm.</t>
  </si>
  <si>
    <t>Comp.</t>
  </si>
  <si>
    <t>LxC</t>
  </si>
  <si>
    <t>Seq.</t>
  </si>
  <si>
    <t>Batidas</t>
  </si>
  <si>
    <t>Núm. 1</t>
  </si>
  <si>
    <t>Posição</t>
  </si>
  <si>
    <t>Núm. 2</t>
  </si>
  <si>
    <t>Núm. 3</t>
  </si>
  <si>
    <t>Média</t>
  </si>
  <si>
    <t>Número de Placas</t>
  </si>
  <si>
    <t>Contagem</t>
  </si>
  <si>
    <t>Nº de Navalhas</t>
  </si>
  <si>
    <t>Nº de Batidas</t>
  </si>
  <si>
    <t>Qtd. de Pares e Camadas</t>
  </si>
  <si>
    <t>Código:</t>
  </si>
  <si>
    <t>Altura</t>
  </si>
  <si>
    <t>Espessura</t>
  </si>
  <si>
    <t>MÁXIMO DE FOLHAS VOLUME</t>
  </si>
  <si>
    <t>Data</t>
  </si>
  <si>
    <t>Usuário</t>
  </si>
  <si>
    <t>Data do arquivo</t>
  </si>
  <si>
    <t>Maior Mês</t>
  </si>
  <si>
    <t>DATA - 01/06/2026</t>
  </si>
  <si>
    <t>PARES POR HORA (Crato):</t>
  </si>
  <si>
    <t>01</t>
  </si>
  <si>
    <t>Quantidade de pares</t>
  </si>
  <si>
    <t>Descrição:</t>
  </si>
  <si>
    <t>Total (Volume)</t>
  </si>
  <si>
    <t>Vol. Mês pico(pares)</t>
  </si>
  <si>
    <t>aa5382</t>
  </si>
  <si>
    <t>Acondicionamento (pares):</t>
  </si>
  <si>
    <t>02</t>
  </si>
  <si>
    <t>Quantidade de camadas</t>
  </si>
  <si>
    <t>Lançamento:</t>
  </si>
  <si>
    <t>Fatias</t>
  </si>
  <si>
    <t>VOLUME:</t>
  </si>
  <si>
    <t>03</t>
  </si>
  <si>
    <t>Tempo Médio de Batidas em Segundos</t>
  </si>
  <si>
    <t>Cores</t>
  </si>
  <si>
    <t>Data arquivo:</t>
  </si>
  <si>
    <t>04</t>
  </si>
  <si>
    <t>Infantil/ baby</t>
  </si>
  <si>
    <t>Dados do Responsável pelo Cáclulo</t>
  </si>
  <si>
    <t>MELHOR SITUAÇÃO PARA ACONDICIONAMENTO DE PLACAS</t>
  </si>
  <si>
    <t>opção 1</t>
  </si>
  <si>
    <t>opção 2</t>
  </si>
  <si>
    <t>Volume Cor (pares)</t>
  </si>
  <si>
    <t>Nº</t>
  </si>
  <si>
    <t>PRS/NAV</t>
  </si>
  <si>
    <t>ESTAT.</t>
  </si>
  <si>
    <t>CONSUMO</t>
  </si>
  <si>
    <t>TIPO DE PEÇA</t>
  </si>
  <si>
    <t>FÁBRICA</t>
  </si>
  <si>
    <t>05</t>
  </si>
  <si>
    <t>Adulto</t>
  </si>
  <si>
    <t>Nome:</t>
  </si>
  <si>
    <t>Peso máx. material caixa (g)</t>
  </si>
  <si>
    <t>Aproveit. (prs/m)</t>
  </si>
  <si>
    <t>06</t>
  </si>
  <si>
    <t>Data:</t>
  </si>
  <si>
    <t/>
  </si>
  <si>
    <t>OPÇÃO 1</t>
  </si>
  <si>
    <t>OPÇÃO 2</t>
  </si>
  <si>
    <t>Acond. Máx na caixa (placas)</t>
  </si>
  <si>
    <t>Compri. Do Rolo (m)</t>
  </si>
  <si>
    <t>334</t>
  </si>
  <si>
    <t>0,5</t>
  </si>
  <si>
    <t xml:space="preserve">CABEDAL </t>
  </si>
  <si>
    <t>SOBRAL</t>
  </si>
  <si>
    <t>07</t>
  </si>
  <si>
    <t>Sequências</t>
  </si>
  <si>
    <t>Qtd.</t>
  </si>
  <si>
    <t>Quant. Peças Largura x Largura e Compr. x Compr.</t>
  </si>
  <si>
    <t>Quant. Peças Largura da caixa x Compr. Da placa</t>
  </si>
  <si>
    <t>Pares na placa</t>
  </si>
  <si>
    <t>Número de camadas</t>
  </si>
  <si>
    <t>35</t>
  </si>
  <si>
    <t>08</t>
  </si>
  <si>
    <t>Sequências com 1 navalha</t>
  </si>
  <si>
    <t>Cálculo de Corte para Navalhas</t>
  </si>
  <si>
    <t>Dimensão da placa (cm²)</t>
  </si>
  <si>
    <t>36</t>
  </si>
  <si>
    <t>TIPO DE MATERIAL</t>
  </si>
  <si>
    <t>09</t>
  </si>
  <si>
    <t>Sequências com 2 navalhas</t>
  </si>
  <si>
    <t>Resultados Sobral</t>
  </si>
  <si>
    <t>Resultados Crato</t>
  </si>
  <si>
    <t xml:space="preserve">Comprimento </t>
  </si>
  <si>
    <t>Peso da placa (g)</t>
  </si>
  <si>
    <t>37</t>
  </si>
  <si>
    <t>COV FF 0,6 ADVPRO TRIP VD</t>
  </si>
  <si>
    <t>10</t>
  </si>
  <si>
    <t>Sequências com 3 navalhas</t>
  </si>
  <si>
    <t>Quantidade de Navalhas:</t>
  </si>
  <si>
    <t>Tempo total/par</t>
  </si>
  <si>
    <t>Total</t>
  </si>
  <si>
    <t>Peso de material na caixa (g)</t>
  </si>
  <si>
    <t>MÁXIMO DE FOLHAS TÉCNICO</t>
  </si>
  <si>
    <t>38</t>
  </si>
  <si>
    <t>Área</t>
  </si>
  <si>
    <t>Média:</t>
  </si>
  <si>
    <t>Tempo de abastecimento</t>
  </si>
  <si>
    <t>Prs/m</t>
  </si>
  <si>
    <t>M/Rolo</t>
  </si>
  <si>
    <t>Pares/hora</t>
  </si>
  <si>
    <t>Pares/hora:</t>
  </si>
  <si>
    <t>Peso de material na caixa (kg)</t>
  </si>
  <si>
    <t>39</t>
  </si>
  <si>
    <t>Quantidade de Folhas</t>
  </si>
  <si>
    <t>Peças/hora</t>
  </si>
  <si>
    <t>Batidas/hora:</t>
  </si>
  <si>
    <t>Total de Placas</t>
  </si>
  <si>
    <t>Máx. placas/ limite de peso</t>
  </si>
  <si>
    <t>40</t>
  </si>
  <si>
    <t xml:space="preserve">NUMERO DE FOLHAS </t>
  </si>
  <si>
    <t>Descrição de Regras dos cálculos</t>
  </si>
  <si>
    <t>Quantidade Pares por Placa</t>
  </si>
  <si>
    <t>Batidas/hora</t>
  </si>
  <si>
    <t>Tempo Ciclo:</t>
  </si>
  <si>
    <t>Acond. Máx. caixa (pares)</t>
  </si>
  <si>
    <t>Resultante:</t>
  </si>
  <si>
    <t>2 FOLHAS BIDIM PARA CIMA</t>
  </si>
  <si>
    <t>Acondicionamento</t>
  </si>
  <si>
    <t>Tempo médio da batida em segundos</t>
  </si>
  <si>
    <t>Números Cortando 1 Navalha</t>
  </si>
  <si>
    <t>Peças/Placa</t>
  </si>
  <si>
    <t>7% PERDA</t>
  </si>
  <si>
    <t>Tempo médio do Abastecimento em seg/pux (Sobral)</t>
  </si>
  <si>
    <t>Números Cortando 2 Navalhas</t>
  </si>
  <si>
    <r>
      <t xml:space="preserve">Total de </t>
    </r>
    <r>
      <rPr>
        <b/>
        <sz val="11"/>
        <color rgb="FFFF0000"/>
        <rFont val="Aptos Narrow"/>
        <family val="2"/>
        <scheme val="minor"/>
      </rPr>
      <t>peças</t>
    </r>
    <r>
      <rPr>
        <b/>
        <sz val="11"/>
        <color theme="0"/>
        <rFont val="Aptos Narrow"/>
        <family val="2"/>
        <scheme val="minor"/>
      </rPr>
      <t>/caixa</t>
    </r>
  </si>
  <si>
    <r>
      <rPr>
        <b/>
        <i/>
        <sz val="8"/>
        <rFont val="Aptos Narrow"/>
        <family val="2"/>
        <scheme val="minor"/>
      </rPr>
      <t>1 -</t>
    </r>
    <r>
      <rPr>
        <i/>
        <sz val="8"/>
        <rFont val="Aptos Narrow"/>
        <family val="2"/>
        <scheme val="minor"/>
      </rPr>
      <t xml:space="preserve"> </t>
    </r>
    <r>
      <rPr>
        <b/>
        <i/>
        <sz val="8"/>
        <rFont val="Aptos Narrow"/>
        <family val="2"/>
        <scheme val="minor"/>
      </rPr>
      <t>Número de Batidas:</t>
    </r>
    <r>
      <rPr>
        <i/>
        <sz val="8"/>
        <rFont val="Aptos Narrow"/>
        <family val="2"/>
        <scheme val="minor"/>
      </rPr>
      <t xml:space="preserve"> Quando a largura e o comprimento das medidas da navalha forem menores que 22,5 o número de batidas nas sequências do sistema de corte dobram.</t>
    </r>
  </si>
  <si>
    <t>Tempo médio do Abastecimento em seg/pux (Crato)</t>
  </si>
  <si>
    <t>Números Cortando 3 Navalhas</t>
  </si>
  <si>
    <r>
      <rPr>
        <b/>
        <i/>
        <sz val="8"/>
        <rFont val="Aptos Narrow"/>
        <family val="2"/>
        <scheme val="minor"/>
      </rPr>
      <t>2 -</t>
    </r>
    <r>
      <rPr>
        <i/>
        <sz val="8"/>
        <rFont val="Aptos Narrow"/>
        <family val="2"/>
        <scheme val="minor"/>
      </rPr>
      <t xml:space="preserve"> </t>
    </r>
    <r>
      <rPr>
        <b/>
        <i/>
        <sz val="8"/>
        <rFont val="Aptos Narrow"/>
        <family val="2"/>
        <scheme val="minor"/>
      </rPr>
      <t>Número de Navalhas:</t>
    </r>
    <r>
      <rPr>
        <i/>
        <sz val="8"/>
        <rFont val="Aptos Narrow"/>
        <family val="2"/>
        <scheme val="minor"/>
      </rPr>
      <t xml:space="preserve"> Para chegar no número de navalhas é necessário verificar os números usados na sequência, se forem os mesmos números, considera apenas 1 navalha, se forem diferentes, considera uma navalha para cada número.
</t>
    </r>
  </si>
  <si>
    <t>Tempo médio do recolher plc do cepo e dispor sobre a mesa em seg</t>
  </si>
  <si>
    <t>Pares/Placa</t>
  </si>
  <si>
    <t>Acondicionamento final</t>
  </si>
  <si>
    <t>Tempo médio do Abastecimento do material</t>
  </si>
  <si>
    <r>
      <t xml:space="preserve">Total de </t>
    </r>
    <r>
      <rPr>
        <b/>
        <sz val="11"/>
        <color rgb="FFFF0000"/>
        <rFont val="Aptos Narrow"/>
        <family val="2"/>
        <scheme val="minor"/>
      </rPr>
      <t>pares</t>
    </r>
    <r>
      <rPr>
        <b/>
        <sz val="11"/>
        <color theme="0"/>
        <rFont val="Aptos Narrow"/>
        <family val="2"/>
        <scheme val="minor"/>
      </rPr>
      <t>/caixa</t>
    </r>
  </si>
  <si>
    <t>POSIÇÃO DO CORTE</t>
  </si>
  <si>
    <t>Tempo médio do Acondicionamento</t>
  </si>
  <si>
    <r>
      <t xml:space="preserve">Tolerância: </t>
    </r>
    <r>
      <rPr>
        <b/>
        <sz val="10"/>
        <rFont val="Aptos Narrow"/>
        <family val="2"/>
        <scheme val="minor"/>
      </rPr>
      <t>17,28%</t>
    </r>
    <r>
      <rPr>
        <sz val="10"/>
        <rFont val="Aptos Narrow"/>
        <family val="2"/>
        <scheme val="minor"/>
      </rPr>
      <t xml:space="preserve">
Tolerância: 1,65 % Coeficiente ambiente + 5% Necessidades pessoais + 2% Demoras + 0,6% Esforço mental + 5,4% Esforço físico médio + 1,5% Monotonia + 1,12% Coeficiente de posição. (p/ navalhas de 1 a 3 Kg)</t>
    </r>
  </si>
  <si>
    <r>
      <rPr>
        <b/>
        <i/>
        <sz val="8"/>
        <rFont val="Aptos Narrow"/>
        <family val="2"/>
        <scheme val="minor"/>
      </rPr>
      <t>1 -</t>
    </r>
    <r>
      <rPr>
        <i/>
        <sz val="8"/>
        <rFont val="Aptos Narrow"/>
        <family val="2"/>
        <scheme val="minor"/>
      </rPr>
      <t xml:space="preserve"> </t>
    </r>
    <r>
      <rPr>
        <b/>
        <i/>
        <sz val="8"/>
        <rFont val="Aptos Narrow"/>
        <family val="2"/>
        <scheme val="minor"/>
      </rPr>
      <t xml:space="preserve">Qtd.: </t>
    </r>
    <r>
      <rPr>
        <i/>
        <sz val="8"/>
        <rFont val="Aptos Narrow"/>
        <family val="2"/>
        <scheme val="minor"/>
      </rPr>
      <t>A quantidade de sequências que cortam com 1, 2 ou 3 navalhas.</t>
    </r>
  </si>
  <si>
    <t>Tempo médio do Contar peças</t>
  </si>
  <si>
    <t xml:space="preserve">               LARGURA</t>
  </si>
  <si>
    <t>MEDIDAS DAS NAVALHAS</t>
  </si>
  <si>
    <r>
      <rPr>
        <b/>
        <i/>
        <sz val="8"/>
        <rFont val="Aptos Narrow"/>
        <family val="2"/>
        <scheme val="minor"/>
      </rPr>
      <t>2 - Média:</t>
    </r>
    <r>
      <rPr>
        <i/>
        <sz val="8"/>
        <rFont val="Aptos Narrow"/>
        <family val="2"/>
        <scheme val="minor"/>
      </rPr>
      <t xml:space="preserve"> referente a quantidade de batidas com um mesmo número de navalhas. Soma do número de batidas com 1 navalha dividido pelo quantidade de sequências que cortam com 1 navalha. O mesmo cálculo para 2 e 3 navalhas.</t>
    </r>
  </si>
  <si>
    <t>Batidas por puxada</t>
  </si>
  <si>
    <t>NUM.</t>
  </si>
  <si>
    <t>LARG.</t>
  </si>
  <si>
    <t>COMP.</t>
  </si>
  <si>
    <t>Pares/Batida</t>
  </si>
  <si>
    <t>19,86+17,88</t>
  </si>
  <si>
    <t xml:space="preserve">Pares/Puxada    </t>
  </si>
  <si>
    <t>20,24+18,17</t>
  </si>
  <si>
    <t xml:space="preserve">Segundos/Par/Batida     </t>
  </si>
  <si>
    <t>20,61+18,49</t>
  </si>
  <si>
    <t>Segundos/Par/ Puxada (Sobral)</t>
  </si>
  <si>
    <t>20,98+18,81</t>
  </si>
  <si>
    <t>Segundos/Par/ Puxada (Crato)</t>
  </si>
  <si>
    <t>21,36+19,13</t>
  </si>
  <si>
    <t xml:space="preserve">Segundos/Par/ Recolher </t>
  </si>
  <si>
    <t>21,73+19,45</t>
  </si>
  <si>
    <t>Segundos/Par/Abastecimento (Sobral)</t>
  </si>
  <si>
    <t>22,1+19,79</t>
  </si>
  <si>
    <t>Segundos/Par/Abastecimento (Crato)</t>
  </si>
  <si>
    <t>Segundos/Par/Contagem</t>
  </si>
  <si>
    <t>COM LADO</t>
  </si>
  <si>
    <t>Segundos/Par/Encaixotamento</t>
  </si>
  <si>
    <t>MANTER SENTIDO</t>
  </si>
  <si>
    <t>SISTEMA DE CORTE PARA MATERIAL COM LARGURA ATÉ 128 CM (1º FAIXA)</t>
  </si>
  <si>
    <t>SEQU.</t>
  </si>
  <si>
    <t>BAT.</t>
  </si>
  <si>
    <t>NÚM.</t>
  </si>
  <si>
    <t>POS.</t>
  </si>
  <si>
    <t>MED.</t>
  </si>
  <si>
    <t>TOTAL</t>
  </si>
  <si>
    <t>L</t>
  </si>
  <si>
    <t>119,7</t>
  </si>
  <si>
    <t>137,0</t>
  </si>
  <si>
    <t>117,7</t>
  </si>
  <si>
    <t>115,8</t>
  </si>
  <si>
    <t>113,9</t>
  </si>
  <si>
    <t>111,9</t>
  </si>
  <si>
    <t>127,9</t>
  </si>
  <si>
    <t>126,2</t>
  </si>
  <si>
    <t>CORTE Á FIO</t>
  </si>
  <si>
    <t>FERRAMENTAL EXISTENTE DO 39510</t>
  </si>
  <si>
    <t>CONFERIR NAVALHA COM  A CHAPELONA, DE HORA EM HORA E AO INICIO DE CADA PLANO OU REFERENCIA.</t>
  </si>
  <si>
    <t>LEMBRETE:O COVERLINE  REPRESENTA 31% DO PREÇO DO NOSSO CALÇADO.CONTAMOS COM VOCÊ PARA UM BOM APROV.</t>
  </si>
  <si>
    <t>ATENÇÃO CORTAR SÓ NA LARGURA</t>
  </si>
  <si>
    <t>Modelos</t>
  </si>
  <si>
    <t>Código</t>
  </si>
  <si>
    <t>Pares</t>
  </si>
  <si>
    <t>Material e metragem</t>
  </si>
  <si>
    <t>Quantidade no Rolo</t>
  </si>
  <si>
    <t>PESO (g/cm²)</t>
  </si>
  <si>
    <t>Camadas</t>
  </si>
  <si>
    <t>COVERLINE 0,4 (40m)</t>
  </si>
  <si>
    <t>TABELA DE CONSUMO</t>
  </si>
  <si>
    <t>PLANILHA DE CONSUMOS</t>
  </si>
  <si>
    <t>COVERLINE 0,5 (40m)</t>
  </si>
  <si>
    <t>Grendene Sobral S/A - Métodos e Processos / Consumos</t>
  </si>
  <si>
    <t>COVERLINE 0,6 (40m)</t>
  </si>
  <si>
    <t>COVERLINE 0,6mm + Esponja (20m)</t>
  </si>
  <si>
    <t>PEÇA</t>
  </si>
  <si>
    <t>COVERLINE 0,7 (40m)</t>
  </si>
  <si>
    <t>COVERLINE 0,8 (40m)</t>
  </si>
  <si>
    <t>No.</t>
  </si>
  <si>
    <t>Prs/pl</t>
  </si>
  <si>
    <t>Prs/mt.</t>
  </si>
  <si>
    <t>mt/par</t>
  </si>
  <si>
    <t>ESTATÍSTICA</t>
  </si>
  <si>
    <t>CONF.PROG.</t>
  </si>
  <si>
    <t>COVERLINE FF 0,85 TRAIL FMME (40m)</t>
  </si>
  <si>
    <t>COVERLINE 0,9 (40m)</t>
  </si>
  <si>
    <t>COVERLINE 1,0 (35m)</t>
  </si>
  <si>
    <t>COVERLINE 1,2 (25m)</t>
  </si>
  <si>
    <t>COVERLINE 1,3 (25m)</t>
  </si>
  <si>
    <t>COVERLINE 1,4 (20m)</t>
  </si>
  <si>
    <t>COVERLINE 1,5 (20m)</t>
  </si>
  <si>
    <t>COVERLINE 1,7 (20m)</t>
  </si>
  <si>
    <t>COVERLINE 1,8 (20m)</t>
  </si>
  <si>
    <t>COVERLINE 2,0 (20m)</t>
  </si>
  <si>
    <t>COVERLINE 2,2 (18m)</t>
  </si>
  <si>
    <t>COVERLINE 2,3 (18m)</t>
  </si>
  <si>
    <t>COVERLINE 2,4 (18m)</t>
  </si>
  <si>
    <t>COVERLINE 2,5 (18m)</t>
  </si>
  <si>
    <t>COVERLINE 2,7 (18m)</t>
  </si>
  <si>
    <t>COVERLINE 2,8 (18m)</t>
  </si>
  <si>
    <t>COVERLINE 2,9 (18m)</t>
  </si>
  <si>
    <t>COVERLINE 3,0 (11m)</t>
  </si>
  <si>
    <t>COVERLINE 3,5 (11m)</t>
  </si>
  <si>
    <t>COVERLINE 4,0 (10m)</t>
  </si>
  <si>
    <t>COVERLINE 4,2 (10m)</t>
  </si>
  <si>
    <t>COVERLINE 4,5 (10m)</t>
  </si>
  <si>
    <t>COVERLINE 4,8 (10m)</t>
  </si>
  <si>
    <t>COVERLINE 5,0 (10m)</t>
  </si>
  <si>
    <t>COVERLINE FF 5,5 CHICAGO FMA230R (10m)</t>
  </si>
  <si>
    <t>COVERLINE FF 6,0 CHICAGO FMA230R (10m)</t>
  </si>
  <si>
    <t>Espuma latex  (45m)</t>
  </si>
  <si>
    <t>EXPANFLEX EXPANDIDO FF 1,0 BRILHANCY (30m)</t>
  </si>
  <si>
    <t>FILME TPU (91,44m)</t>
  </si>
  <si>
    <t>Grenflex (10m)</t>
  </si>
  <si>
    <t>Laminado 0,3 (50m)</t>
  </si>
  <si>
    <t>Microfibra sued CPX (400m)</t>
  </si>
  <si>
    <t>TECIDO ALG 4607 (50m)</t>
  </si>
  <si>
    <t>TECIDO AVESSO TL450 (25m)</t>
  </si>
  <si>
    <t>TECIDO BIDIN HARD (100m)</t>
  </si>
  <si>
    <t>Tecido Dub 2116 (50m)</t>
  </si>
  <si>
    <t>Tecido Dub A8084 (50m)</t>
  </si>
  <si>
    <t>TECIDO DUB MAXPRENE  (50m)</t>
  </si>
  <si>
    <t>TECIDO DUB PELUCIA</t>
  </si>
  <si>
    <t>Tecido Dub Pol New Cash (50m)</t>
  </si>
  <si>
    <t>TECIDO DUB TECHGEL (20m)</t>
  </si>
  <si>
    <t>TECIDO DUB VELUDO (25m)</t>
  </si>
  <si>
    <t>Tecido Dupla Frontura Mercurio (50m)</t>
  </si>
  <si>
    <t>Tecido Dupla Frontura Saturno (50m)</t>
  </si>
  <si>
    <t>Tecido Manta Agulhada (400m)</t>
  </si>
  <si>
    <t>TECIDO MUTIELASTIC (60m)</t>
  </si>
  <si>
    <t>TECIDO NONTECK PALMILHADO (100m)</t>
  </si>
  <si>
    <t>TECIDO POL CACHARREL  (50m)</t>
  </si>
  <si>
    <t>TECIDO POL SILK CASH (50m)</t>
  </si>
  <si>
    <t>Tecido Quad 2116PTOF (50m)</t>
  </si>
  <si>
    <t>Tecido Trip 2 mm (100m)</t>
  </si>
  <si>
    <t>Tecido Trip 3 mm (50m)</t>
  </si>
  <si>
    <t>Tecido Trip 4 mm (40m)</t>
  </si>
  <si>
    <t>Tecido Trip 5 mm (30m)</t>
  </si>
  <si>
    <t>Tecido Trip 7 mm (25m)</t>
  </si>
  <si>
    <t>Tecido Trip meia malha (90m)</t>
  </si>
  <si>
    <t>Ak446 (100m)</t>
  </si>
  <si>
    <t>DATA - 10/11/2025</t>
  </si>
  <si>
    <t>LINGUETA</t>
  </si>
  <si>
    <t>356</t>
  </si>
  <si>
    <t>378</t>
  </si>
  <si>
    <t>394</t>
  </si>
  <si>
    <t xml:space="preserve">TEC TRIP POL </t>
  </si>
  <si>
    <t>17,42+16,62</t>
  </si>
  <si>
    <t>17,73+16,9</t>
  </si>
  <si>
    <t>18,33+17,44</t>
  </si>
  <si>
    <t>19+18,12</t>
  </si>
  <si>
    <t>SEM LADO</t>
  </si>
  <si>
    <t>SISTEMA DE CORTE PARA MATERIAL COM LARGURA ATÉ 143 CM (1º FAIXA)</t>
  </si>
  <si>
    <t>142,4</t>
  </si>
  <si>
    <t>142,8</t>
  </si>
  <si>
    <t>141,4</t>
  </si>
  <si>
    <t>FERRAMENTAL DO 39510</t>
  </si>
  <si>
    <t>qtd batidas nav 2</t>
  </si>
  <si>
    <t>qtd batidas nav 1</t>
  </si>
  <si>
    <t>LARG.1</t>
  </si>
  <si>
    <t>LARG.2</t>
  </si>
  <si>
    <t>Produto</t>
  </si>
  <si>
    <t>Qtde. Produto</t>
  </si>
  <si>
    <t>1273801CF7170334</t>
  </si>
  <si>
    <t>1273801CF7170350</t>
  </si>
  <si>
    <t>1273801CF7170360</t>
  </si>
  <si>
    <t>1273801CF7170378</t>
  </si>
  <si>
    <t>1273801CF7170390</t>
  </si>
  <si>
    <t>1273801CF7170400</t>
  </si>
  <si>
    <t>1273801CF7170410</t>
  </si>
  <si>
    <t>1273801CF7170420</t>
  </si>
  <si>
    <t>1273801CF7170434</t>
  </si>
  <si>
    <t>1273801CF7170450</t>
  </si>
  <si>
    <t>Ton 1</t>
  </si>
  <si>
    <t>Ton 2</t>
  </si>
  <si>
    <t>Ton P</t>
  </si>
  <si>
    <t>Reserva</t>
  </si>
  <si>
    <t>GÁSPEA INT</t>
  </si>
  <si>
    <t>GÁSPEA EXT</t>
  </si>
  <si>
    <t>41</t>
  </si>
  <si>
    <t>42</t>
  </si>
  <si>
    <t>434</t>
  </si>
  <si>
    <t>45</t>
  </si>
  <si>
    <t>MODELO_12738_RIDER SLX COMMUTER SPECIAL PACK ENERGIA</t>
  </si>
  <si>
    <t>0,65</t>
  </si>
  <si>
    <t>GÁSPEA INTERNA</t>
  </si>
  <si>
    <t>2,12</t>
  </si>
  <si>
    <t>6,93</t>
  </si>
  <si>
    <t>10,70</t>
  </si>
  <si>
    <t>LAM TRIP VINYL FF 1,0 ZAMBIA OFFWHITE+E2MMD26CZ+1696BCO(MO@M</t>
  </si>
  <si>
    <t>16,48</t>
  </si>
  <si>
    <t>17,35</t>
  </si>
  <si>
    <t>18,50</t>
  </si>
  <si>
    <t>15,72</t>
  </si>
  <si>
    <t>4 FOLHAS (2 BIDIM PARA BAIXO E 2 BIDIM PARA CIMA) LADO NO PANO</t>
  </si>
  <si>
    <t>8,23</t>
  </si>
  <si>
    <t>3,32</t>
  </si>
  <si>
    <t>SISTEMA DE CORTE PARA MATERIAL COM LARGURA ATÉ 139 CM (1º FAIXA)</t>
  </si>
  <si>
    <t>137,3</t>
  </si>
  <si>
    <t>120,5</t>
  </si>
  <si>
    <t>138,4</t>
  </si>
  <si>
    <t>136,9</t>
  </si>
  <si>
    <t>138,8</t>
  </si>
  <si>
    <t>137,7</t>
  </si>
  <si>
    <t>112,5</t>
  </si>
  <si>
    <t>138,5</t>
  </si>
  <si>
    <t>118,1</t>
  </si>
  <si>
    <t>CORTE A FIO</t>
  </si>
  <si>
    <t>FERRAMENTAL DO 11751</t>
  </si>
  <si>
    <t>390</t>
  </si>
  <si>
    <t>400</t>
  </si>
  <si>
    <t>410</t>
  </si>
  <si>
    <t>420</t>
  </si>
  <si>
    <t>GÁSPEA EXTERNA</t>
  </si>
  <si>
    <t>136,3</t>
  </si>
  <si>
    <t>136,6</t>
  </si>
  <si>
    <t>137,4</t>
  </si>
  <si>
    <t>118,0</t>
  </si>
  <si>
    <t>138,1</t>
  </si>
  <si>
    <t>139,0</t>
  </si>
  <si>
    <t>136,7</t>
  </si>
  <si>
    <t>134,3</t>
  </si>
  <si>
    <t>GASPEA EXTERNA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</si>
</sst>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\ &quot;cm&quot;"/>
    <numFmt numFmtId="165" formatCode="0.0"/>
    <numFmt numFmtId="166" formatCode="0.00\ &quot;cm³&quot;"/>
    <numFmt numFmtId="167" formatCode="_(* #,##0_);_(* \(#,##0\);_(* &quot;-&quot;_);_(@_)"/>
    <numFmt numFmtId="168" formatCode="_(* #,##0.00_);_(* \(#,##0.00\);_(* &quot;-&quot;??_);_(@_)"/>
    <numFmt numFmtId="169" formatCode="0;[Red]0"/>
    <numFmt numFmtId="170" formatCode="0.000"/>
    <numFmt numFmtId="171" formatCode="0.00000"/>
    <numFmt numFmtId="172" formatCode="0.00000000"/>
    <numFmt numFmtId="173" formatCode="0.000000"/>
    <numFmt numFmtId="174" formatCode="0.0000"/>
  </numFmts>
  <fonts count="7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b/>
      <sz val="11"/>
      <name val="Aptos Narrow"/>
      <family val="2"/>
      <scheme val="minor"/>
    </font>
    <font>
      <b/>
      <i/>
      <sz val="11"/>
      <color indexed="18"/>
      <name val="Arial"/>
      <family val="2"/>
    </font>
    <font>
      <b/>
      <i/>
      <sz val="13.5"/>
      <name val="Arial"/>
      <family val="2"/>
    </font>
    <font>
      <b/>
      <sz val="8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8"/>
      <color theme="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b/>
      <i/>
      <sz val="14"/>
      <color indexed="18"/>
      <name val="Arial"/>
      <family val="2"/>
    </font>
    <font>
      <sz val="8"/>
      <color theme="1"/>
      <name val="Aptos Narrow"/>
      <family val="2"/>
      <scheme val="minor"/>
    </font>
    <font>
      <b/>
      <i/>
      <sz val="10"/>
      <name val="Aptos Narrow"/>
      <family val="2"/>
      <scheme val="minor"/>
    </font>
    <font>
      <sz val="10"/>
      <name val="Aptos Narrow"/>
      <family val="2"/>
      <scheme val="minor"/>
    </font>
    <font>
      <b/>
      <i/>
      <sz val="12"/>
      <color theme="0"/>
      <name val="Aptos Narrow"/>
      <family val="2"/>
      <scheme val="minor"/>
    </font>
    <font>
      <sz val="12"/>
      <name val="Arial"/>
      <family val="2"/>
    </font>
    <font>
      <b/>
      <i/>
      <sz val="12"/>
      <name val="Aptos Narrow"/>
      <family val="2"/>
      <scheme val="minor"/>
    </font>
    <font>
      <b/>
      <sz val="14"/>
      <color indexed="62"/>
      <name val="Arial"/>
      <family val="2"/>
    </font>
    <font>
      <b/>
      <sz val="8"/>
      <name val="Aptos Narrow"/>
      <family val="2"/>
      <scheme val="minor"/>
    </font>
    <font>
      <sz val="12"/>
      <color indexed="72"/>
      <name val="Aptos Narrow"/>
      <family val="2"/>
      <scheme val="minor"/>
    </font>
    <font>
      <sz val="10"/>
      <color theme="0"/>
      <name val="Arial"/>
      <family val="2"/>
    </font>
    <font>
      <sz val="8"/>
      <color rgb="FFFF0000"/>
      <name val="Aptos Narrow"/>
      <family val="2"/>
      <scheme val="minor"/>
    </font>
    <font>
      <sz val="8"/>
      <name val="Arial"/>
      <family val="2"/>
    </font>
    <font>
      <sz val="10"/>
      <color rgb="FFFF0000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i/>
      <sz val="11"/>
      <name val="Arial"/>
      <family val="2"/>
    </font>
    <font>
      <b/>
      <sz val="11"/>
      <name val="Arial"/>
      <family val="2"/>
    </font>
    <font>
      <b/>
      <sz val="10"/>
      <color indexed="18"/>
      <name val="Arial"/>
      <family val="2"/>
    </font>
    <font>
      <b/>
      <sz val="15"/>
      <color indexed="18"/>
      <name val="Arial"/>
      <family val="2"/>
    </font>
    <font>
      <b/>
      <sz val="13"/>
      <color indexed="18"/>
      <name val="Arial"/>
      <family val="2"/>
    </font>
    <font>
      <b/>
      <sz val="13"/>
      <name val="Arial"/>
      <family val="2"/>
    </font>
    <font>
      <b/>
      <sz val="15"/>
      <name val="Arial"/>
      <family val="2"/>
    </font>
    <font>
      <b/>
      <sz val="10"/>
      <name val="Aptos Narrow"/>
      <family val="2"/>
      <scheme val="minor"/>
    </font>
    <font>
      <b/>
      <sz val="12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sz val="10"/>
      <color theme="1"/>
      <name val="Arial"/>
      <family val="2"/>
    </font>
    <font>
      <b/>
      <i/>
      <sz val="10"/>
      <color theme="0"/>
      <name val="Aptos Narrow"/>
      <family val="2"/>
      <scheme val="minor"/>
    </font>
    <font>
      <b/>
      <sz val="12"/>
      <color indexed="18"/>
      <name val="Arial"/>
      <family val="2"/>
    </font>
    <font>
      <b/>
      <i/>
      <sz val="8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i/>
      <sz val="8"/>
      <name val="Aptos Narrow"/>
      <family val="2"/>
      <scheme val="minor"/>
    </font>
    <font>
      <b/>
      <sz val="12"/>
      <color indexed="10"/>
      <name val="Arial"/>
      <family val="2"/>
    </font>
    <font>
      <b/>
      <sz val="11"/>
      <color indexed="10"/>
      <name val="Arial"/>
      <family val="2"/>
    </font>
    <font>
      <b/>
      <sz val="12"/>
      <color theme="1"/>
      <name val="Arial"/>
      <family val="2"/>
    </font>
    <font>
      <b/>
      <sz val="10"/>
      <color indexed="10"/>
      <name val="Arial"/>
      <family val="2"/>
    </font>
    <font>
      <sz val="11"/>
      <name val="Arial"/>
      <family val="2"/>
    </font>
    <font>
      <b/>
      <sz val="9"/>
      <color indexed="10"/>
      <name val="Arial"/>
      <family val="2"/>
    </font>
    <font>
      <b/>
      <sz val="12"/>
      <name val="Arial"/>
      <family val="2"/>
    </font>
    <font>
      <b/>
      <sz val="20"/>
      <color rgb="FFFF0000"/>
      <name val="Arial"/>
      <family val="2"/>
    </font>
    <font>
      <b/>
      <sz val="12"/>
      <color rgb="FFFF0000"/>
      <name val="Arial"/>
      <family val="2"/>
    </font>
    <font>
      <b/>
      <sz val="16"/>
      <color rgb="FFFF0000"/>
      <name val="Arial"/>
      <family val="2"/>
    </font>
    <font>
      <sz val="16"/>
      <name val="Arial"/>
      <family val="2"/>
    </font>
    <font>
      <b/>
      <sz val="18"/>
      <color rgb="FFFF0000"/>
      <name val="Arial"/>
      <family val="2"/>
    </font>
    <font>
      <sz val="16"/>
      <color rgb="FFFF0000"/>
      <name val="Arial"/>
      <family val="2"/>
    </font>
    <font>
      <b/>
      <sz val="16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b/>
      <sz val="18"/>
      <color indexed="10"/>
      <name val="Arial"/>
      <family val="2"/>
    </font>
    <font>
      <b/>
      <sz val="24"/>
      <name val="Arial"/>
      <family val="2"/>
    </font>
    <font>
      <b/>
      <sz val="28"/>
      <color indexed="10"/>
      <name val="Arial"/>
      <family val="2"/>
    </font>
    <font>
      <b/>
      <sz val="10"/>
      <color indexed="18"/>
      <name val="Arial Narrow"/>
      <family val="2"/>
    </font>
    <font>
      <b/>
      <sz val="11"/>
      <color indexed="18"/>
      <name val="Arial"/>
      <family val="2"/>
    </font>
    <font>
      <sz val="11"/>
      <color indexed="18"/>
      <name val="Arial"/>
      <family val="2"/>
    </font>
    <font>
      <b/>
      <sz val="9"/>
      <color indexed="81"/>
      <name val="Tahoma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0"/>
      <color rgb="FF00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6609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FF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6" fillId="0" borderId="0"/>
    <xf numFmtId="0" fontId="1" fillId="0" borderId="0"/>
    <xf numFmtId="0" fontId="6" fillId="0" borderId="0"/>
    <xf numFmtId="168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</cellStyleXfs>
  <cellXfs count="618">
    <xf numFmtId="0" fontId="0" fillId="0" borderId="0" xfId="0"/>
    <xf numFmtId="0" fontId="6" fillId="0" borderId="0" xfId="1"/>
    <xf numFmtId="2" fontId="6" fillId="0" borderId="0" xfId="1" applyNumberFormat="1"/>
    <xf numFmtId="0" fontId="1" fillId="0" borderId="0" xfId="2"/>
    <xf numFmtId="0" fontId="2" fillId="0" borderId="4" xfId="2" applyFont="1" applyBorder="1" applyProtection="1">
      <protection locked="0"/>
    </xf>
    <xf numFmtId="0" fontId="6" fillId="0" borderId="1" xfId="1" applyBorder="1"/>
    <xf numFmtId="0" fontId="6" fillId="0" borderId="2" xfId="1" applyBorder="1"/>
    <xf numFmtId="0" fontId="6" fillId="0" borderId="3" xfId="1" applyBorder="1"/>
    <xf numFmtId="0" fontId="4" fillId="2" borderId="5" xfId="2" applyFont="1" applyFill="1" applyBorder="1" applyProtection="1">
      <protection locked="0"/>
    </xf>
    <xf numFmtId="0" fontId="4" fillId="0" borderId="0" xfId="2" applyFont="1" applyProtection="1">
      <protection locked="0"/>
    </xf>
    <xf numFmtId="0" fontId="6" fillId="0" borderId="4" xfId="1" applyBorder="1"/>
    <xf numFmtId="0" fontId="9" fillId="5" borderId="0" xfId="1" applyFont="1" applyFill="1" applyAlignment="1">
      <alignment horizontal="left" vertical="center"/>
    </xf>
    <xf numFmtId="0" fontId="6" fillId="5" borderId="0" xfId="1" applyFill="1" applyAlignment="1">
      <alignment horizontal="left" vertical="center"/>
    </xf>
    <xf numFmtId="0" fontId="6" fillId="5" borderId="0" xfId="1" applyFill="1"/>
    <xf numFmtId="0" fontId="6" fillId="0" borderId="11" xfId="1" applyBorder="1"/>
    <xf numFmtId="0" fontId="10" fillId="6" borderId="12" xfId="1" applyFont="1" applyFill="1" applyBorder="1" applyAlignment="1">
      <alignment horizontal="left" vertical="center"/>
    </xf>
    <xf numFmtId="0" fontId="10" fillId="6" borderId="13" xfId="1" applyFont="1" applyFill="1" applyBorder="1" applyAlignment="1">
      <alignment horizontal="left" vertical="center"/>
    </xf>
    <xf numFmtId="0" fontId="10" fillId="6" borderId="14" xfId="1" applyFont="1" applyFill="1" applyBorder="1" applyAlignment="1">
      <alignment horizontal="left" vertical="center"/>
    </xf>
    <xf numFmtId="0" fontId="10" fillId="0" borderId="0" xfId="1" applyFont="1" applyAlignment="1">
      <alignment horizontal="center" vertical="center"/>
    </xf>
    <xf numFmtId="0" fontId="10" fillId="6" borderId="13" xfId="1" applyFont="1" applyFill="1" applyBorder="1" applyAlignment="1">
      <alignment vertical="center"/>
    </xf>
    <xf numFmtId="0" fontId="10" fillId="6" borderId="14" xfId="1" applyFont="1" applyFill="1" applyBorder="1" applyAlignment="1">
      <alignment vertical="center"/>
    </xf>
    <xf numFmtId="0" fontId="11" fillId="0" borderId="0" xfId="1" applyFont="1" applyAlignment="1">
      <alignment vertical="center"/>
    </xf>
    <xf numFmtId="0" fontId="12" fillId="6" borderId="13" xfId="1" applyFont="1" applyFill="1" applyBorder="1" applyAlignment="1">
      <alignment vertical="center"/>
    </xf>
    <xf numFmtId="0" fontId="12" fillId="6" borderId="14" xfId="1" applyFont="1" applyFill="1" applyBorder="1" applyAlignment="1">
      <alignment vertical="center"/>
    </xf>
    <xf numFmtId="0" fontId="13" fillId="6" borderId="15" xfId="1" applyFont="1" applyFill="1" applyBorder="1" applyAlignment="1" applyProtection="1">
      <alignment horizontal="left" vertical="center" indent="2"/>
      <protection locked="0"/>
    </xf>
    <xf numFmtId="0" fontId="14" fillId="6" borderId="16" xfId="1" applyFont="1" applyFill="1" applyBorder="1" applyAlignment="1" applyProtection="1">
      <alignment vertical="center"/>
      <protection locked="0"/>
    </xf>
    <xf numFmtId="0" fontId="4" fillId="2" borderId="18" xfId="2" applyFont="1" applyFill="1" applyBorder="1" applyProtection="1">
      <protection locked="0"/>
    </xf>
    <xf numFmtId="0" fontId="15" fillId="0" borderId="0" xfId="3" applyFont="1" applyAlignment="1">
      <alignment horizontal="left" vertical="center"/>
    </xf>
    <xf numFmtId="0" fontId="6" fillId="0" borderId="0" xfId="3" applyAlignment="1">
      <alignment vertical="center"/>
    </xf>
    <xf numFmtId="0" fontId="6" fillId="0" borderId="0" xfId="3"/>
    <xf numFmtId="0" fontId="15" fillId="0" borderId="0" xfId="3" applyFont="1" applyAlignment="1">
      <alignment horizontal="right" vertical="center"/>
    </xf>
    <xf numFmtId="1" fontId="15" fillId="0" borderId="0" xfId="3" applyNumberFormat="1" applyFont="1" applyAlignment="1">
      <alignment horizontal="left" vertical="center"/>
    </xf>
    <xf numFmtId="0" fontId="16" fillId="6" borderId="23" xfId="1" applyFont="1" applyFill="1" applyBorder="1" applyAlignment="1">
      <alignment vertical="center"/>
    </xf>
    <xf numFmtId="0" fontId="10" fillId="6" borderId="23" xfId="3" applyFont="1" applyFill="1" applyBorder="1" applyAlignment="1">
      <alignment horizontal="center" vertical="center"/>
    </xf>
    <xf numFmtId="0" fontId="10" fillId="6" borderId="23" xfId="1" applyFont="1" applyFill="1" applyBorder="1" applyAlignment="1">
      <alignment horizontal="center" vertical="center"/>
    </xf>
    <xf numFmtId="0" fontId="10" fillId="2" borderId="23" xfId="3" applyFont="1" applyFill="1" applyBorder="1" applyAlignment="1">
      <alignment horizontal="center" vertical="center"/>
    </xf>
    <xf numFmtId="0" fontId="12" fillId="6" borderId="23" xfId="3" applyFont="1" applyFill="1" applyBorder="1" applyAlignment="1">
      <alignment horizontal="center" vertical="center" wrapText="1"/>
    </xf>
    <xf numFmtId="0" fontId="10" fillId="6" borderId="23" xfId="3" applyFont="1" applyFill="1" applyBorder="1" applyAlignment="1">
      <alignment horizontal="center" vertical="center" wrapText="1"/>
    </xf>
    <xf numFmtId="0" fontId="17" fillId="7" borderId="17" xfId="1" applyFont="1" applyFill="1" applyBorder="1" applyAlignment="1" applyProtection="1">
      <alignment vertical="center"/>
      <protection locked="0"/>
    </xf>
    <xf numFmtId="0" fontId="19" fillId="8" borderId="0" xfId="1" applyFont="1" applyFill="1" applyAlignment="1">
      <alignment horizontal="center"/>
    </xf>
    <xf numFmtId="0" fontId="20" fillId="0" borderId="0" xfId="1" applyFont="1"/>
    <xf numFmtId="0" fontId="19" fillId="8" borderId="0" xfId="1" applyFont="1" applyFill="1" applyAlignment="1">
      <alignment horizontal="right"/>
    </xf>
    <xf numFmtId="0" fontId="21" fillId="9" borderId="0" xfId="1" applyFont="1" applyFill="1" applyAlignment="1">
      <alignment horizontal="right"/>
    </xf>
    <xf numFmtId="0" fontId="15" fillId="0" borderId="0" xfId="1" applyFont="1" applyAlignment="1">
      <alignment horizontal="left" vertical="center"/>
    </xf>
    <xf numFmtId="14" fontId="22" fillId="0" borderId="0" xfId="1" applyNumberFormat="1" applyFont="1" applyAlignment="1">
      <alignment horizontal="left" vertical="center"/>
    </xf>
    <xf numFmtId="49" fontId="23" fillId="0" borderId="23" xfId="1" applyNumberFormat="1" applyFont="1" applyBorder="1" applyAlignment="1">
      <alignment horizontal="center"/>
    </xf>
    <xf numFmtId="16" fontId="11" fillId="0" borderId="23" xfId="1" applyNumberFormat="1" applyFont="1" applyBorder="1" applyAlignment="1">
      <alignment horizontal="right" vertical="center"/>
    </xf>
    <xf numFmtId="2" fontId="11" fillId="0" borderId="23" xfId="1" applyNumberFormat="1" applyFont="1" applyBorder="1" applyAlignment="1">
      <alignment horizontal="right" vertical="center"/>
    </xf>
    <xf numFmtId="2" fontId="11" fillId="10" borderId="0" xfId="3" applyNumberFormat="1" applyFont="1" applyFill="1" applyAlignment="1">
      <alignment horizontal="center" vertical="center"/>
    </xf>
    <xf numFmtId="0" fontId="23" fillId="0" borderId="23" xfId="3" applyFont="1" applyBorder="1" applyAlignment="1">
      <alignment horizontal="right" vertical="center"/>
    </xf>
    <xf numFmtId="165" fontId="23" fillId="0" borderId="23" xfId="3" applyNumberFormat="1" applyFont="1" applyBorder="1" applyAlignment="1">
      <alignment horizontal="right" vertical="center"/>
    </xf>
    <xf numFmtId="0" fontId="11" fillId="7" borderId="23" xfId="1" applyFont="1" applyFill="1" applyBorder="1" applyAlignment="1">
      <alignment horizontal="right" vertical="center"/>
    </xf>
    <xf numFmtId="0" fontId="11" fillId="0" borderId="12" xfId="1" applyFont="1" applyBorder="1" applyAlignment="1">
      <alignment vertical="center"/>
    </xf>
    <xf numFmtId="0" fontId="16" fillId="0" borderId="14" xfId="1" applyFont="1" applyBorder="1" applyAlignment="1">
      <alignment vertical="center"/>
    </xf>
    <xf numFmtId="0" fontId="4" fillId="2" borderId="25" xfId="2" applyFont="1" applyFill="1" applyBorder="1" applyProtection="1">
      <protection locked="0"/>
    </xf>
    <xf numFmtId="167" fontId="24" fillId="0" borderId="17" xfId="1" applyNumberFormat="1" applyFont="1" applyBorder="1" applyAlignment="1">
      <alignment horizontal="right" vertical="center"/>
    </xf>
    <xf numFmtId="14" fontId="24" fillId="0" borderId="17" xfId="1" applyNumberFormat="1" applyFont="1" applyBorder="1" applyAlignment="1">
      <alignment horizontal="right" vertical="center"/>
    </xf>
    <xf numFmtId="0" fontId="24" fillId="0" borderId="17" xfId="1" applyFont="1" applyBorder="1" applyAlignment="1">
      <alignment horizontal="right" vertical="center"/>
    </xf>
    <xf numFmtId="22" fontId="24" fillId="0" borderId="17" xfId="1" applyNumberFormat="1" applyFont="1" applyBorder="1" applyAlignment="1">
      <alignment horizontal="right" vertical="center"/>
    </xf>
    <xf numFmtId="168" fontId="24" fillId="0" borderId="17" xfId="4" applyFont="1" applyFill="1" applyBorder="1" applyAlignment="1" applyProtection="1">
      <alignment horizontal="right" vertical="center"/>
    </xf>
    <xf numFmtId="0" fontId="25" fillId="0" borderId="0" xfId="1" applyFont="1"/>
    <xf numFmtId="0" fontId="26" fillId="0" borderId="14" xfId="1" applyFont="1" applyBorder="1" applyAlignment="1">
      <alignment vertical="center"/>
    </xf>
    <xf numFmtId="10" fontId="27" fillId="0" borderId="0" xfId="1" applyNumberFormat="1" applyFont="1"/>
    <xf numFmtId="167" fontId="24" fillId="11" borderId="17" xfId="1" applyNumberFormat="1" applyFont="1" applyFill="1" applyBorder="1" applyAlignment="1">
      <alignment horizontal="right" vertical="center"/>
    </xf>
    <xf numFmtId="0" fontId="28" fillId="0" borderId="0" xfId="1" applyFont="1"/>
    <xf numFmtId="0" fontId="29" fillId="0" borderId="0" xfId="1" applyFont="1" applyAlignment="1">
      <alignment horizontal="right" vertical="center"/>
    </xf>
    <xf numFmtId="167" fontId="29" fillId="0" borderId="0" xfId="4" applyNumberFormat="1" applyFont="1" applyBorder="1" applyAlignment="1">
      <alignment horizontal="left" vertical="center"/>
    </xf>
    <xf numFmtId="0" fontId="18" fillId="0" borderId="0" xfId="1" applyFont="1" applyAlignment="1" applyProtection="1">
      <alignment vertical="center"/>
      <protection locked="0"/>
    </xf>
    <xf numFmtId="14" fontId="18" fillId="0" borderId="0" xfId="1" applyNumberFormat="1" applyFont="1" applyAlignment="1" applyProtection="1">
      <alignment vertical="center"/>
      <protection locked="0"/>
    </xf>
    <xf numFmtId="0" fontId="6" fillId="0" borderId="28" xfId="1" applyBorder="1"/>
    <xf numFmtId="0" fontId="6" fillId="0" borderId="29" xfId="1" applyBorder="1"/>
    <xf numFmtId="0" fontId="6" fillId="0" borderId="30" xfId="1" applyBorder="1"/>
    <xf numFmtId="0" fontId="30" fillId="0" borderId="0" xfId="1" applyFont="1" applyAlignment="1">
      <alignment horizontal="right" vertical="top"/>
    </xf>
    <xf numFmtId="14" fontId="30" fillId="0" borderId="29" xfId="1" applyNumberFormat="1" applyFont="1" applyBorder="1" applyAlignment="1">
      <alignment horizontal="left" vertical="top"/>
    </xf>
    <xf numFmtId="0" fontId="29" fillId="0" borderId="29" xfId="1" applyFont="1" applyBorder="1"/>
    <xf numFmtId="0" fontId="31" fillId="0" borderId="29" xfId="1" applyFont="1" applyBorder="1" applyAlignment="1">
      <alignment horizontal="left"/>
    </xf>
    <xf numFmtId="0" fontId="11" fillId="0" borderId="23" xfId="1" applyFont="1" applyBorder="1" applyAlignment="1">
      <alignment vertical="center"/>
    </xf>
    <xf numFmtId="2" fontId="16" fillId="0" borderId="23" xfId="1" applyNumberFormat="1" applyFont="1" applyBorder="1" applyAlignment="1">
      <alignment horizontal="center" vertical="center"/>
    </xf>
    <xf numFmtId="0" fontId="16" fillId="0" borderId="23" xfId="1" applyFont="1" applyBorder="1" applyAlignment="1">
      <alignment horizontal="right" vertical="center"/>
    </xf>
    <xf numFmtId="0" fontId="32" fillId="5" borderId="31" xfId="1" applyFont="1" applyFill="1" applyBorder="1" applyAlignment="1">
      <alignment horizontal="center" vertical="center"/>
    </xf>
    <xf numFmtId="0" fontId="32" fillId="5" borderId="34" xfId="1" applyFont="1" applyFill="1" applyBorder="1" applyAlignment="1">
      <alignment horizontal="center" vertical="center"/>
    </xf>
    <xf numFmtId="0" fontId="16" fillId="0" borderId="23" xfId="1" applyFont="1" applyBorder="1" applyAlignment="1">
      <alignment horizontal="center" vertical="center"/>
    </xf>
    <xf numFmtId="0" fontId="6" fillId="0" borderId="35" xfId="1" applyBorder="1"/>
    <xf numFmtId="0" fontId="6" fillId="0" borderId="35" xfId="1" applyBorder="1" applyAlignment="1">
      <alignment horizontal="center"/>
    </xf>
    <xf numFmtId="49" fontId="33" fillId="0" borderId="4" xfId="1" applyNumberFormat="1" applyFont="1" applyBorder="1" applyAlignment="1">
      <alignment horizontal="center"/>
    </xf>
    <xf numFmtId="0" fontId="29" fillId="0" borderId="36" xfId="1" applyFont="1" applyBorder="1"/>
    <xf numFmtId="0" fontId="6" fillId="0" borderId="36" xfId="1" applyBorder="1"/>
    <xf numFmtId="0" fontId="6" fillId="0" borderId="37" xfId="1" applyBorder="1" applyAlignment="1">
      <alignment horizontal="center"/>
    </xf>
    <xf numFmtId="0" fontId="6" fillId="0" borderId="38" xfId="1" applyBorder="1"/>
    <xf numFmtId="49" fontId="34" fillId="0" borderId="37" xfId="5" applyNumberFormat="1" applyFont="1" applyFill="1" applyBorder="1" applyAlignment="1">
      <alignment vertical="top" wrapText="1"/>
    </xf>
    <xf numFmtId="49" fontId="34" fillId="0" borderId="2" xfId="5" applyNumberFormat="1" applyFont="1" applyFill="1" applyBorder="1" applyAlignment="1">
      <alignment vertical="top" wrapText="1"/>
    </xf>
    <xf numFmtId="10" fontId="29" fillId="0" borderId="2" xfId="5" applyNumberFormat="1" applyFont="1" applyBorder="1" applyAlignment="1">
      <alignment horizontal="center"/>
    </xf>
    <xf numFmtId="169" fontId="6" fillId="12" borderId="35" xfId="1" applyNumberFormat="1" applyFill="1" applyBorder="1"/>
    <xf numFmtId="49" fontId="35" fillId="0" borderId="4" xfId="1" applyNumberFormat="1" applyFont="1" applyBorder="1" applyAlignment="1">
      <alignment horizontal="center" vertical="center"/>
    </xf>
    <xf numFmtId="0" fontId="35" fillId="0" borderId="39" xfId="1" applyFont="1" applyBorder="1" applyAlignment="1">
      <alignment horizontal="center" vertical="center"/>
    </xf>
    <xf numFmtId="2" fontId="36" fillId="0" borderId="21" xfId="1" applyNumberFormat="1" applyFont="1" applyBorder="1" applyAlignment="1">
      <alignment horizontal="center" vertical="center"/>
    </xf>
    <xf numFmtId="2" fontId="35" fillId="0" borderId="22" xfId="1" applyNumberFormat="1" applyFont="1" applyBorder="1" applyAlignment="1">
      <alignment horizontal="center" vertical="center"/>
    </xf>
    <xf numFmtId="49" fontId="18" fillId="0" borderId="0" xfId="1" applyNumberFormat="1" applyFont="1" applyAlignment="1">
      <alignment horizontal="center" vertical="center"/>
    </xf>
    <xf numFmtId="49" fontId="38" fillId="0" borderId="0" xfId="1" applyNumberFormat="1" applyFont="1" applyAlignment="1">
      <alignment horizontal="center" vertical="center"/>
    </xf>
    <xf numFmtId="0" fontId="18" fillId="0" borderId="0" xfId="1" applyFont="1" applyAlignment="1">
      <alignment vertical="center"/>
    </xf>
    <xf numFmtId="0" fontId="2" fillId="0" borderId="0" xfId="2" applyFont="1"/>
    <xf numFmtId="0" fontId="39" fillId="14" borderId="17" xfId="1" applyFont="1" applyFill="1" applyBorder="1" applyAlignment="1">
      <alignment horizontal="right" vertical="center"/>
    </xf>
    <xf numFmtId="0" fontId="10" fillId="0" borderId="23" xfId="3" applyFont="1" applyBorder="1" applyAlignment="1">
      <alignment horizontal="left" vertical="center"/>
    </xf>
    <xf numFmtId="0" fontId="11" fillId="0" borderId="23" xfId="1" applyFont="1" applyBorder="1" applyAlignment="1">
      <alignment horizontal="right" vertical="center"/>
    </xf>
    <xf numFmtId="165" fontId="11" fillId="0" borderId="23" xfId="1" applyNumberFormat="1" applyFont="1" applyBorder="1" applyAlignment="1">
      <alignment horizontal="right" vertical="center"/>
    </xf>
    <xf numFmtId="0" fontId="40" fillId="6" borderId="12" xfId="1" applyFont="1" applyFill="1" applyBorder="1" applyAlignment="1">
      <alignment horizontal="left" vertical="center" indent="2"/>
    </xf>
    <xf numFmtId="0" fontId="18" fillId="6" borderId="13" xfId="1" applyFont="1" applyFill="1" applyBorder="1" applyAlignment="1">
      <alignment vertical="center"/>
    </xf>
    <xf numFmtId="0" fontId="18" fillId="6" borderId="14" xfId="1" applyFont="1" applyFill="1" applyBorder="1" applyAlignment="1">
      <alignment vertical="center"/>
    </xf>
    <xf numFmtId="0" fontId="4" fillId="2" borderId="18" xfId="2" applyFont="1" applyFill="1" applyBorder="1"/>
    <xf numFmtId="0" fontId="19" fillId="9" borderId="0" xfId="1" applyFont="1" applyFill="1" applyAlignment="1">
      <alignment horizontal="right"/>
    </xf>
    <xf numFmtId="0" fontId="41" fillId="0" borderId="0" xfId="1" applyFont="1"/>
    <xf numFmtId="0" fontId="42" fillId="0" borderId="42" xfId="1" applyFont="1" applyBorder="1" applyAlignment="1">
      <alignment vertical="center"/>
    </xf>
    <xf numFmtId="0" fontId="18" fillId="0" borderId="0" xfId="1" applyFont="1" applyAlignment="1">
      <alignment horizontal="center" vertical="center"/>
    </xf>
    <xf numFmtId="0" fontId="18" fillId="0" borderId="43" xfId="1" applyFont="1" applyBorder="1" applyAlignment="1">
      <alignment vertical="center"/>
    </xf>
    <xf numFmtId="0" fontId="6" fillId="0" borderId="35" xfId="1" applyBorder="1" applyAlignment="1">
      <alignment horizontal="left"/>
    </xf>
    <xf numFmtId="0" fontId="38" fillId="16" borderId="23" xfId="1" applyFont="1" applyFill="1" applyBorder="1" applyAlignment="1">
      <alignment horizontal="center" vertical="center"/>
    </xf>
    <xf numFmtId="2" fontId="38" fillId="7" borderId="23" xfId="1" applyNumberFormat="1" applyFont="1" applyFill="1" applyBorder="1" applyAlignment="1">
      <alignment horizontal="right" vertical="center"/>
    </xf>
    <xf numFmtId="0" fontId="2" fillId="2" borderId="18" xfId="2" applyFont="1" applyFill="1" applyBorder="1" applyAlignment="1">
      <alignment horizontal="center"/>
    </xf>
    <xf numFmtId="0" fontId="23" fillId="0" borderId="23" xfId="1" applyFont="1" applyBorder="1" applyAlignment="1">
      <alignment vertical="center"/>
    </xf>
    <xf numFmtId="0" fontId="11" fillId="0" borderId="0" xfId="1" applyFont="1" applyAlignment="1">
      <alignment horizontal="center" vertical="center"/>
    </xf>
    <xf numFmtId="0" fontId="10" fillId="17" borderId="23" xfId="1" applyFont="1" applyFill="1" applyBorder="1" applyAlignment="1">
      <alignment horizontal="center" vertical="center"/>
    </xf>
    <xf numFmtId="0" fontId="18" fillId="0" borderId="14" xfId="1" applyFont="1" applyBorder="1" applyAlignment="1">
      <alignment horizontal="center" vertical="center"/>
    </xf>
    <xf numFmtId="3" fontId="13" fillId="7" borderId="23" xfId="1" applyNumberFormat="1" applyFont="1" applyFill="1" applyBorder="1" applyAlignment="1">
      <alignment horizontal="right" vertical="center"/>
    </xf>
    <xf numFmtId="3" fontId="18" fillId="0" borderId="23" xfId="1" applyNumberFormat="1" applyFont="1" applyBorder="1" applyAlignment="1">
      <alignment horizontal="right" vertical="center"/>
    </xf>
    <xf numFmtId="0" fontId="4" fillId="2" borderId="45" xfId="2" applyFont="1" applyFill="1" applyBorder="1"/>
    <xf numFmtId="0" fontId="20" fillId="18" borderId="35" xfId="1" applyFont="1" applyFill="1" applyBorder="1"/>
    <xf numFmtId="0" fontId="11" fillId="17" borderId="23" xfId="3" applyFont="1" applyFill="1" applyBorder="1" applyAlignment="1">
      <alignment horizontal="center" vertical="center"/>
    </xf>
    <xf numFmtId="2" fontId="16" fillId="17" borderId="23" xfId="1" applyNumberFormat="1" applyFont="1" applyFill="1" applyBorder="1" applyAlignment="1">
      <alignment horizontal="right" vertical="center"/>
    </xf>
    <xf numFmtId="165" fontId="16" fillId="17" borderId="23" xfId="1" applyNumberFormat="1" applyFont="1" applyFill="1" applyBorder="1" applyAlignment="1">
      <alignment horizontal="right" vertical="center"/>
    </xf>
    <xf numFmtId="0" fontId="18" fillId="0" borderId="12" xfId="1" applyFont="1" applyBorder="1" applyAlignment="1">
      <alignment horizontal="left" vertical="center"/>
    </xf>
    <xf numFmtId="0" fontId="18" fillId="0" borderId="13" xfId="1" applyFont="1" applyBorder="1" applyAlignment="1">
      <alignment horizontal="left" vertical="center"/>
    </xf>
    <xf numFmtId="0" fontId="18" fillId="0" borderId="14" xfId="1" applyFont="1" applyBorder="1" applyAlignment="1">
      <alignment horizontal="left" vertical="center"/>
    </xf>
    <xf numFmtId="0" fontId="18" fillId="0" borderId="23" xfId="1" quotePrefix="1" applyFont="1" applyBorder="1" applyAlignment="1">
      <alignment horizontal="right" vertical="center"/>
    </xf>
    <xf numFmtId="168" fontId="13" fillId="7" borderId="23" xfId="4" applyFont="1" applyFill="1" applyBorder="1" applyAlignment="1">
      <alignment horizontal="right" vertical="center"/>
    </xf>
    <xf numFmtId="0" fontId="2" fillId="19" borderId="34" xfId="2" applyFont="1" applyFill="1" applyBorder="1" applyAlignment="1">
      <alignment horizontal="center"/>
    </xf>
    <xf numFmtId="0" fontId="2" fillId="19" borderId="49" xfId="2" applyFont="1" applyFill="1" applyBorder="1" applyAlignment="1">
      <alignment horizontal="center"/>
    </xf>
    <xf numFmtId="0" fontId="44" fillId="0" borderId="0" xfId="1" applyFont="1" applyAlignment="1">
      <alignment vertical="center"/>
    </xf>
    <xf numFmtId="0" fontId="18" fillId="0" borderId="23" xfId="1" applyFont="1" applyBorder="1" applyAlignment="1">
      <alignment horizontal="right" vertical="center"/>
    </xf>
    <xf numFmtId="4" fontId="18" fillId="0" borderId="23" xfId="1" applyNumberFormat="1" applyFont="1" applyBorder="1" applyAlignment="1">
      <alignment horizontal="right" vertical="center"/>
    </xf>
    <xf numFmtId="0" fontId="2" fillId="20" borderId="0" xfId="2" applyFont="1" applyFill="1" applyAlignment="1">
      <alignment horizontal="center"/>
    </xf>
    <xf numFmtId="169" fontId="2" fillId="20" borderId="0" xfId="2" applyNumberFormat="1" applyFont="1" applyFill="1" applyAlignment="1">
      <alignment horizontal="center"/>
    </xf>
    <xf numFmtId="0" fontId="35" fillId="0" borderId="22" xfId="1" applyFont="1" applyBorder="1" applyAlignment="1">
      <alignment vertical="center"/>
    </xf>
    <xf numFmtId="165" fontId="38" fillId="0" borderId="23" xfId="1" applyNumberFormat="1" applyFont="1" applyBorder="1" applyAlignment="1">
      <alignment horizontal="right" vertical="center"/>
    </xf>
    <xf numFmtId="0" fontId="4" fillId="2" borderId="5" xfId="2" applyFont="1" applyFill="1" applyBorder="1"/>
    <xf numFmtId="0" fontId="6" fillId="18" borderId="35" xfId="1" applyFill="1" applyBorder="1"/>
    <xf numFmtId="0" fontId="43" fillId="0" borderId="22" xfId="1" applyFont="1" applyBorder="1" applyAlignment="1">
      <alignment vertical="center"/>
    </xf>
    <xf numFmtId="0" fontId="18" fillId="18" borderId="12" xfId="1" applyFont="1" applyFill="1" applyBorder="1" applyAlignment="1">
      <alignment horizontal="left" vertical="center"/>
    </xf>
    <xf numFmtId="0" fontId="18" fillId="18" borderId="13" xfId="1" applyFont="1" applyFill="1" applyBorder="1" applyAlignment="1">
      <alignment horizontal="left" vertical="center"/>
    </xf>
    <xf numFmtId="0" fontId="18" fillId="18" borderId="14" xfId="1" applyFont="1" applyFill="1" applyBorder="1" applyAlignment="1">
      <alignment horizontal="left" vertical="center"/>
    </xf>
    <xf numFmtId="2" fontId="18" fillId="18" borderId="23" xfId="1" quotePrefix="1" applyNumberFormat="1" applyFont="1" applyFill="1" applyBorder="1" applyAlignment="1">
      <alignment horizontal="right" vertical="center"/>
    </xf>
    <xf numFmtId="1" fontId="18" fillId="18" borderId="23" xfId="1" applyNumberFormat="1" applyFont="1" applyFill="1" applyBorder="1" applyAlignment="1">
      <alignment horizontal="right" vertical="center"/>
    </xf>
    <xf numFmtId="0" fontId="2" fillId="19" borderId="25" xfId="2" applyFont="1" applyFill="1" applyBorder="1" applyAlignment="1">
      <alignment horizontal="center"/>
    </xf>
    <xf numFmtId="0" fontId="47" fillId="0" borderId="0" xfId="1" applyFont="1" applyAlignment="1">
      <alignment vertical="center"/>
    </xf>
    <xf numFmtId="0" fontId="18" fillId="21" borderId="12" xfId="1" applyFont="1" applyFill="1" applyBorder="1" applyAlignment="1">
      <alignment horizontal="left" vertical="center"/>
    </xf>
    <xf numFmtId="0" fontId="18" fillId="21" borderId="13" xfId="1" applyFont="1" applyFill="1" applyBorder="1" applyAlignment="1">
      <alignment horizontal="left" vertical="center"/>
    </xf>
    <xf numFmtId="0" fontId="18" fillId="21" borderId="14" xfId="1" applyFont="1" applyFill="1" applyBorder="1" applyAlignment="1">
      <alignment horizontal="left" vertical="center"/>
    </xf>
    <xf numFmtId="2" fontId="18" fillId="21" borderId="23" xfId="1" quotePrefix="1" applyNumberFormat="1" applyFont="1" applyFill="1" applyBorder="1" applyAlignment="1">
      <alignment horizontal="right" vertical="center"/>
    </xf>
    <xf numFmtId="0" fontId="2" fillId="22" borderId="0" xfId="2" applyFont="1" applyFill="1" applyAlignment="1">
      <alignment horizontal="center"/>
    </xf>
    <xf numFmtId="169" fontId="2" fillId="22" borderId="0" xfId="2" applyNumberFormat="1" applyFont="1" applyFill="1" applyAlignment="1">
      <alignment horizontal="center"/>
    </xf>
    <xf numFmtId="0" fontId="1" fillId="22" borderId="0" xfId="2" applyFill="1"/>
    <xf numFmtId="2" fontId="35" fillId="0" borderId="21" xfId="1" applyNumberFormat="1" applyFont="1" applyBorder="1" applyAlignment="1">
      <alignment horizontal="center" vertical="center"/>
    </xf>
    <xf numFmtId="0" fontId="47" fillId="0" borderId="0" xfId="1" applyFont="1" applyAlignment="1">
      <alignment horizontal="center" vertical="center"/>
    </xf>
    <xf numFmtId="2" fontId="18" fillId="0" borderId="23" xfId="1" applyNumberFormat="1" applyFont="1" applyBorder="1" applyAlignment="1">
      <alignment horizontal="right" vertical="center"/>
    </xf>
    <xf numFmtId="0" fontId="38" fillId="23" borderId="23" xfId="1" quotePrefix="1" applyFont="1" applyFill="1" applyBorder="1" applyAlignment="1">
      <alignment horizontal="right" vertical="center"/>
    </xf>
    <xf numFmtId="0" fontId="6" fillId="12" borderId="0" xfId="1" applyFill="1"/>
    <xf numFmtId="0" fontId="6" fillId="0" borderId="21" xfId="1" applyBorder="1"/>
    <xf numFmtId="0" fontId="6" fillId="0" borderId="53" xfId="1" applyBorder="1"/>
    <xf numFmtId="10" fontId="29" fillId="0" borderId="29" xfId="5" applyNumberFormat="1" applyFont="1" applyBorder="1" applyAlignment="1">
      <alignment horizontal="center"/>
    </xf>
    <xf numFmtId="1" fontId="18" fillId="0" borderId="23" xfId="1" applyNumberFormat="1" applyFont="1" applyBorder="1" applyAlignment="1">
      <alignment horizontal="right" vertical="center"/>
    </xf>
    <xf numFmtId="0" fontId="48" fillId="0" borderId="1" xfId="1" applyFont="1" applyBorder="1"/>
    <xf numFmtId="0" fontId="48" fillId="0" borderId="2" xfId="1" applyFont="1" applyBorder="1" applyAlignment="1">
      <alignment horizontal="left"/>
    </xf>
    <xf numFmtId="0" fontId="48" fillId="0" borderId="2" xfId="1" applyFont="1" applyBorder="1"/>
    <xf numFmtId="0" fontId="49" fillId="0" borderId="2" xfId="1" applyFont="1" applyBorder="1" applyAlignment="1">
      <alignment horizontal="left"/>
    </xf>
    <xf numFmtId="0" fontId="48" fillId="0" borderId="50" xfId="1" applyFont="1" applyBorder="1" applyAlignment="1">
      <alignment horizontal="left"/>
    </xf>
    <xf numFmtId="0" fontId="48" fillId="0" borderId="3" xfId="1" applyFont="1" applyBorder="1"/>
    <xf numFmtId="0" fontId="48" fillId="0" borderId="11" xfId="1" applyFont="1" applyBorder="1"/>
    <xf numFmtId="0" fontId="48" fillId="0" borderId="0" xfId="1" applyFont="1"/>
    <xf numFmtId="0" fontId="18" fillId="0" borderId="0" xfId="1" applyFont="1" applyAlignment="1">
      <alignment horizontal="left" vertical="center" wrapText="1"/>
    </xf>
    <xf numFmtId="0" fontId="50" fillId="0" borderId="0" xfId="1" applyFont="1"/>
    <xf numFmtId="0" fontId="51" fillId="0" borderId="0" xfId="1" applyFont="1"/>
    <xf numFmtId="0" fontId="52" fillId="0" borderId="11" xfId="1" applyFont="1" applyBorder="1"/>
    <xf numFmtId="0" fontId="52" fillId="0" borderId="0" xfId="1" applyFont="1"/>
    <xf numFmtId="0" fontId="53" fillId="0" borderId="35" xfId="1" applyFont="1" applyBorder="1" applyAlignment="1">
      <alignment horizontal="center" vertical="center"/>
    </xf>
    <xf numFmtId="0" fontId="6" fillId="10" borderId="0" xfId="1" applyFill="1"/>
    <xf numFmtId="1" fontId="54" fillId="10" borderId="35" xfId="1" applyNumberFormat="1" applyFont="1" applyFill="1" applyBorder="1" applyAlignment="1">
      <alignment horizontal="center" vertical="center"/>
    </xf>
    <xf numFmtId="2" fontId="54" fillId="10" borderId="35" xfId="1" applyNumberFormat="1" applyFont="1" applyFill="1" applyBorder="1" applyAlignment="1">
      <alignment horizontal="center" vertical="center"/>
    </xf>
    <xf numFmtId="0" fontId="6" fillId="10" borderId="11" xfId="1" applyFill="1" applyBorder="1"/>
    <xf numFmtId="0" fontId="6" fillId="10" borderId="4" xfId="1" applyFill="1" applyBorder="1"/>
    <xf numFmtId="2" fontId="18" fillId="18" borderId="23" xfId="1" applyNumberFormat="1" applyFont="1" applyFill="1" applyBorder="1" applyAlignment="1">
      <alignment horizontal="right" vertical="center"/>
    </xf>
    <xf numFmtId="2" fontId="28" fillId="0" borderId="0" xfId="1" applyNumberFormat="1" applyFont="1"/>
    <xf numFmtId="0" fontId="54" fillId="0" borderId="35" xfId="1" applyFont="1" applyBorder="1" applyAlignment="1">
      <alignment horizontal="center" vertical="center"/>
    </xf>
    <xf numFmtId="2" fontId="18" fillId="21" borderId="23" xfId="1" applyNumberFormat="1" applyFont="1" applyFill="1" applyBorder="1" applyAlignment="1">
      <alignment horizontal="right" vertical="center"/>
    </xf>
    <xf numFmtId="0" fontId="48" fillId="10" borderId="4" xfId="1" applyFont="1" applyFill="1" applyBorder="1"/>
    <xf numFmtId="0" fontId="48" fillId="10" borderId="0" xfId="1" applyFont="1" applyFill="1"/>
    <xf numFmtId="0" fontId="48" fillId="10" borderId="11" xfId="1" applyFont="1" applyFill="1" applyBorder="1"/>
    <xf numFmtId="0" fontId="56" fillId="0" borderId="4" xfId="1" applyFont="1" applyBorder="1" applyAlignment="1">
      <alignment horizontal="left"/>
    </xf>
    <xf numFmtId="0" fontId="57" fillId="0" borderId="0" xfId="3" applyFont="1"/>
    <xf numFmtId="0" fontId="58" fillId="0" borderId="4" xfId="1" applyFont="1" applyBorder="1"/>
    <xf numFmtId="0" fontId="59" fillId="0" borderId="4" xfId="1" applyFont="1" applyBorder="1"/>
    <xf numFmtId="0" fontId="60" fillId="0" borderId="0" xfId="1" applyFont="1"/>
    <xf numFmtId="0" fontId="29" fillId="10" borderId="0" xfId="1" applyFont="1" applyFill="1"/>
    <xf numFmtId="0" fontId="58" fillId="0" borderId="11" xfId="1" applyFont="1" applyBorder="1"/>
    <xf numFmtId="0" fontId="58" fillId="0" borderId="0" xfId="1" applyFont="1"/>
    <xf numFmtId="0" fontId="6" fillId="0" borderId="61" xfId="1" applyBorder="1"/>
    <xf numFmtId="1" fontId="54" fillId="10" borderId="0" xfId="1" applyNumberFormat="1" applyFont="1" applyFill="1" applyAlignment="1">
      <alignment horizontal="center" vertical="center"/>
    </xf>
    <xf numFmtId="2" fontId="54" fillId="10" borderId="0" xfId="1" applyNumberFormat="1" applyFont="1" applyFill="1" applyAlignment="1">
      <alignment horizontal="center" vertical="center"/>
    </xf>
    <xf numFmtId="0" fontId="49" fillId="0" borderId="0" xfId="1" applyFont="1"/>
    <xf numFmtId="0" fontId="29" fillId="0" borderId="0" xfId="1" applyFont="1" applyAlignment="1">
      <alignment horizontal="center"/>
    </xf>
    <xf numFmtId="0" fontId="29" fillId="0" borderId="11" xfId="1" applyFont="1" applyBorder="1" applyAlignment="1">
      <alignment horizontal="center"/>
    </xf>
    <xf numFmtId="0" fontId="6" fillId="10" borderId="29" xfId="1" applyFill="1" applyBorder="1"/>
    <xf numFmtId="0" fontId="33" fillId="0" borderId="31" xfId="1" applyFont="1" applyBorder="1" applyAlignment="1">
      <alignment horizontal="center"/>
    </xf>
    <xf numFmtId="0" fontId="33" fillId="0" borderId="32" xfId="1" applyFont="1" applyBorder="1" applyAlignment="1">
      <alignment horizontal="center"/>
    </xf>
    <xf numFmtId="0" fontId="33" fillId="0" borderId="33" xfId="1" applyFont="1" applyBorder="1" applyAlignment="1">
      <alignment horizontal="center"/>
    </xf>
    <xf numFmtId="49" fontId="62" fillId="0" borderId="40" xfId="1" applyNumberFormat="1" applyFont="1" applyBorder="1" applyAlignment="1">
      <alignment horizontal="center"/>
    </xf>
    <xf numFmtId="0" fontId="37" fillId="0" borderId="29" xfId="6" applyFont="1" applyBorder="1" applyAlignment="1">
      <alignment horizontal="center" vertical="center"/>
    </xf>
    <xf numFmtId="165" fontId="37" fillId="0" borderId="52" xfId="6" applyNumberFormat="1" applyFont="1" applyBorder="1" applyAlignment="1">
      <alignment horizontal="center"/>
    </xf>
    <xf numFmtId="165" fontId="25" fillId="0" borderId="0" xfId="1" applyNumberFormat="1" applyFont="1"/>
    <xf numFmtId="0" fontId="37" fillId="0" borderId="29" xfId="1" applyFont="1" applyBorder="1" applyAlignment="1">
      <alignment horizontal="center" vertical="center"/>
    </xf>
    <xf numFmtId="165" fontId="37" fillId="0" borderId="52" xfId="1" applyNumberFormat="1" applyFont="1" applyBorder="1" applyAlignment="1">
      <alignment horizontal="center"/>
    </xf>
    <xf numFmtId="0" fontId="37" fillId="0" borderId="32" xfId="1" applyFont="1" applyBorder="1" applyAlignment="1">
      <alignment horizontal="center" vertical="center"/>
    </xf>
    <xf numFmtId="0" fontId="66" fillId="0" borderId="0" xfId="1" applyFont="1" applyAlignment="1">
      <alignment vertical="center" wrapText="1"/>
    </xf>
    <xf numFmtId="0" fontId="6" fillId="0" borderId="40" xfId="1" applyBorder="1"/>
    <xf numFmtId="0" fontId="6" fillId="0" borderId="52" xfId="1" applyBorder="1"/>
    <xf numFmtId="0" fontId="3" fillId="7" borderId="5" xfId="1" applyFont="1" applyFill="1" applyBorder="1" applyAlignment="1">
      <alignment horizontal="center"/>
    </xf>
    <xf numFmtId="0" fontId="3" fillId="7" borderId="66" xfId="1" applyFont="1" applyFill="1" applyBorder="1" applyAlignment="1">
      <alignment horizontal="center"/>
    </xf>
    <xf numFmtId="0" fontId="3" fillId="7" borderId="67" xfId="1" applyFont="1" applyFill="1" applyBorder="1" applyAlignment="1">
      <alignment horizontal="center"/>
    </xf>
    <xf numFmtId="0" fontId="3" fillId="7" borderId="7" xfId="1" applyFont="1" applyFill="1" applyBorder="1" applyAlignment="1">
      <alignment horizontal="center"/>
    </xf>
    <xf numFmtId="0" fontId="6" fillId="0" borderId="18" xfId="1" applyBorder="1"/>
    <xf numFmtId="0" fontId="6" fillId="0" borderId="35" xfId="1" applyBorder="1" applyAlignment="1">
      <alignment horizontal="center" vertical="center"/>
    </xf>
    <xf numFmtId="0" fontId="6" fillId="0" borderId="20" xfId="1" applyBorder="1" applyAlignment="1">
      <alignment horizontal="right"/>
    </xf>
    <xf numFmtId="0" fontId="29" fillId="0" borderId="0" xfId="1" applyFont="1"/>
    <xf numFmtId="0" fontId="6" fillId="0" borderId="8" xfId="1" applyBorder="1"/>
    <xf numFmtId="0" fontId="6" fillId="0" borderId="9" xfId="1" applyBorder="1"/>
    <xf numFmtId="0" fontId="6" fillId="0" borderId="10" xfId="1" applyBorder="1"/>
    <xf numFmtId="0" fontId="6" fillId="0" borderId="68" xfId="1" applyBorder="1"/>
    <xf numFmtId="0" fontId="6" fillId="0" borderId="63" xfId="1" applyBorder="1"/>
    <xf numFmtId="0" fontId="6" fillId="0" borderId="69" xfId="1" applyBorder="1"/>
    <xf numFmtId="10" fontId="29" fillId="0" borderId="0" xfId="1" applyNumberFormat="1" applyFont="1"/>
    <xf numFmtId="0" fontId="52" fillId="0" borderId="35" xfId="1" applyFont="1" applyBorder="1" applyAlignment="1">
      <alignment horizontal="center"/>
    </xf>
    <xf numFmtId="0" fontId="52" fillId="0" borderId="19" xfId="1" applyFont="1" applyBorder="1" applyAlignment="1">
      <alignment horizontal="center"/>
    </xf>
    <xf numFmtId="0" fontId="32" fillId="0" borderId="35" xfId="1" applyFont="1" applyBorder="1" applyAlignment="1">
      <alignment horizontal="center"/>
    </xf>
    <xf numFmtId="0" fontId="68" fillId="0" borderId="58" xfId="1" applyFont="1" applyBorder="1" applyAlignment="1">
      <alignment horizontal="centerContinuous"/>
    </xf>
    <xf numFmtId="0" fontId="69" fillId="0" borderId="44" xfId="1" applyFont="1" applyBorder="1" applyAlignment="1">
      <alignment horizontal="centerContinuous"/>
    </xf>
    <xf numFmtId="0" fontId="68" fillId="0" borderId="35" xfId="1" applyFont="1" applyBorder="1" applyAlignment="1">
      <alignment horizontal="centerContinuous"/>
    </xf>
    <xf numFmtId="0" fontId="69" fillId="0" borderId="58" xfId="1" applyFont="1" applyBorder="1" applyAlignment="1">
      <alignment horizontal="centerContinuous"/>
    </xf>
    <xf numFmtId="0" fontId="6" fillId="0" borderId="0" xfId="1" applyAlignment="1">
      <alignment horizontal="center"/>
    </xf>
    <xf numFmtId="49" fontId="68" fillId="0" borderId="35" xfId="1" applyNumberFormat="1" applyFont="1" applyBorder="1" applyAlignment="1">
      <alignment horizontal="center"/>
    </xf>
    <xf numFmtId="0" fontId="52" fillId="10" borderId="63" xfId="1" applyFont="1" applyFill="1" applyBorder="1" applyAlignment="1">
      <alignment horizontal="center"/>
    </xf>
    <xf numFmtId="2" fontId="52" fillId="25" borderId="35" xfId="1" applyNumberFormat="1" applyFont="1" applyFill="1" applyBorder="1" applyAlignment="1">
      <alignment horizontal="center"/>
    </xf>
    <xf numFmtId="171" fontId="32" fillId="26" borderId="35" xfId="1" applyNumberFormat="1" applyFont="1" applyFill="1" applyBorder="1" applyAlignment="1">
      <alignment horizontal="center"/>
    </xf>
    <xf numFmtId="172" fontId="52" fillId="10" borderId="58" xfId="1" applyNumberFormat="1" applyFont="1" applyFill="1" applyBorder="1" applyAlignment="1">
      <alignment horizontal="center"/>
    </xf>
    <xf numFmtId="2" fontId="52" fillId="10" borderId="63" xfId="1" applyNumberFormat="1" applyFont="1" applyFill="1" applyBorder="1" applyAlignment="1">
      <alignment horizontal="center"/>
    </xf>
    <xf numFmtId="173" fontId="52" fillId="10" borderId="58" xfId="1" applyNumberFormat="1" applyFont="1" applyFill="1" applyBorder="1" applyAlignment="1">
      <alignment horizontal="center"/>
    </xf>
    <xf numFmtId="2" fontId="52" fillId="10" borderId="69" xfId="1" applyNumberFormat="1" applyFont="1" applyFill="1" applyBorder="1" applyAlignment="1">
      <alignment horizontal="center"/>
    </xf>
    <xf numFmtId="2" fontId="68" fillId="0" borderId="58" xfId="1" applyNumberFormat="1" applyFont="1" applyBorder="1" applyAlignment="1">
      <alignment horizontal="centerContinuous"/>
    </xf>
    <xf numFmtId="171" fontId="52" fillId="25" borderId="35" xfId="1" applyNumberFormat="1" applyFont="1" applyFill="1" applyBorder="1" applyAlignment="1">
      <alignment horizontal="center"/>
    </xf>
    <xf numFmtId="49" fontId="68" fillId="10" borderId="0" xfId="1" applyNumberFormat="1" applyFont="1" applyFill="1" applyAlignment="1">
      <alignment horizontal="center"/>
    </xf>
    <xf numFmtId="0" fontId="52" fillId="10" borderId="0" xfId="1" applyFont="1" applyFill="1" applyAlignment="1">
      <alignment horizontal="center"/>
    </xf>
    <xf numFmtId="2" fontId="52" fillId="10" borderId="0" xfId="1" applyNumberFormat="1" applyFont="1" applyFill="1" applyAlignment="1">
      <alignment horizontal="center"/>
    </xf>
    <xf numFmtId="173" fontId="52" fillId="10" borderId="0" xfId="1" applyNumberFormat="1" applyFont="1" applyFill="1" applyAlignment="1">
      <alignment horizontal="center"/>
    </xf>
    <xf numFmtId="0" fontId="52" fillId="10" borderId="0" xfId="1" quotePrefix="1" applyFont="1" applyFill="1" applyAlignment="1">
      <alignment horizontal="center"/>
    </xf>
    <xf numFmtId="2" fontId="49" fillId="10" borderId="35" xfId="1" applyNumberFormat="1" applyFont="1" applyFill="1" applyBorder="1" applyAlignment="1">
      <alignment horizontal="center"/>
    </xf>
    <xf numFmtId="49" fontId="68" fillId="10" borderId="29" xfId="1" applyNumberFormat="1" applyFont="1" applyFill="1" applyBorder="1" applyAlignment="1">
      <alignment horizontal="center"/>
    </xf>
    <xf numFmtId="0" fontId="52" fillId="10" borderId="29" xfId="1" applyFont="1" applyFill="1" applyBorder="1" applyAlignment="1">
      <alignment horizontal="center"/>
    </xf>
    <xf numFmtId="2" fontId="52" fillId="10" borderId="29" xfId="1" applyNumberFormat="1" applyFont="1" applyFill="1" applyBorder="1" applyAlignment="1">
      <alignment horizontal="center"/>
    </xf>
    <xf numFmtId="1" fontId="52" fillId="0" borderId="29" xfId="1" applyNumberFormat="1" applyFont="1" applyBorder="1" applyAlignment="1">
      <alignment horizontal="center"/>
    </xf>
    <xf numFmtId="165" fontId="52" fillId="0" borderId="29" xfId="1" applyNumberFormat="1" applyFont="1" applyBorder="1"/>
    <xf numFmtId="170" fontId="52" fillId="0" borderId="29" xfId="1" applyNumberFormat="1" applyFont="1" applyBorder="1"/>
    <xf numFmtId="0" fontId="6" fillId="0" borderId="58" xfId="1" applyBorder="1"/>
    <xf numFmtId="0" fontId="6" fillId="0" borderId="46" xfId="1" applyBorder="1" applyAlignment="1">
      <alignment horizontal="center" vertical="center"/>
    </xf>
    <xf numFmtId="0" fontId="6" fillId="0" borderId="45" xfId="1" applyBorder="1"/>
    <xf numFmtId="0" fontId="6" fillId="0" borderId="70" xfId="1" applyBorder="1" applyAlignment="1">
      <alignment horizontal="right"/>
    </xf>
    <xf numFmtId="0" fontId="6" fillId="0" borderId="25" xfId="1" applyBorder="1"/>
    <xf numFmtId="0" fontId="6" fillId="0" borderId="71" xfId="1" applyBorder="1" applyAlignment="1">
      <alignment horizontal="center" vertical="center"/>
    </xf>
    <xf numFmtId="0" fontId="6" fillId="0" borderId="72" xfId="1" applyBorder="1"/>
    <xf numFmtId="0" fontId="6" fillId="0" borderId="27" xfId="1" applyBorder="1" applyAlignment="1">
      <alignment horizontal="right"/>
    </xf>
    <xf numFmtId="0" fontId="6" fillId="0" borderId="41" xfId="1" applyBorder="1" applyAlignment="1">
      <alignment horizontal="center"/>
    </xf>
    <xf numFmtId="171" fontId="37" fillId="0" borderId="29" xfId="6" applyNumberFormat="1" applyFont="1" applyBorder="1" applyAlignment="1">
      <alignment horizontal="center" vertical="center"/>
    </xf>
    <xf numFmtId="0" fontId="64" fillId="0" borderId="4" xfId="1" applyFont="1" applyBorder="1" applyAlignment="1">
      <alignment horizontal="center" vertical="center" wrapText="1"/>
    </xf>
    <xf numFmtId="0" fontId="64" fillId="0" borderId="0" xfId="1" applyFont="1" applyAlignment="1">
      <alignment horizontal="center" vertical="center" wrapText="1"/>
    </xf>
    <xf numFmtId="0" fontId="64" fillId="0" borderId="11" xfId="1" applyFont="1" applyBorder="1" applyAlignment="1">
      <alignment horizontal="center" vertical="center" wrapText="1"/>
    </xf>
    <xf numFmtId="0" fontId="65" fillId="0" borderId="4" xfId="6" applyFont="1" applyBorder="1" applyAlignment="1">
      <alignment horizontal="center"/>
    </xf>
    <xf numFmtId="0" fontId="65" fillId="0" borderId="0" xfId="6" applyFont="1" applyAlignment="1">
      <alignment horizontal="center"/>
    </xf>
    <xf numFmtId="0" fontId="65" fillId="0" borderId="11" xfId="6" applyFont="1" applyBorder="1" applyAlignment="1">
      <alignment horizontal="center"/>
    </xf>
    <xf numFmtId="0" fontId="59" fillId="0" borderId="4" xfId="1" applyFont="1" applyBorder="1" applyAlignment="1">
      <alignment horizontal="center"/>
    </xf>
    <xf numFmtId="0" fontId="59" fillId="0" borderId="0" xfId="1" applyFont="1" applyAlignment="1">
      <alignment horizontal="center"/>
    </xf>
    <xf numFmtId="0" fontId="59" fillId="0" borderId="11" xfId="1" applyFont="1" applyBorder="1" applyAlignment="1">
      <alignment horizontal="center"/>
    </xf>
    <xf numFmtId="0" fontId="59" fillId="0" borderId="62" xfId="1" applyFont="1" applyBorder="1" applyAlignment="1">
      <alignment horizontal="center"/>
    </xf>
    <xf numFmtId="0" fontId="59" fillId="0" borderId="63" xfId="1" applyFont="1" applyBorder="1" applyAlignment="1">
      <alignment horizontal="center"/>
    </xf>
    <xf numFmtId="0" fontId="59" fillId="0" borderId="64" xfId="1" applyFont="1" applyBorder="1" applyAlignment="1">
      <alignment horizontal="center"/>
    </xf>
    <xf numFmtId="0" fontId="51" fillId="0" borderId="65" xfId="1" applyFont="1" applyBorder="1" applyAlignment="1">
      <alignment horizontal="center"/>
    </xf>
    <xf numFmtId="0" fontId="51" fillId="0" borderId="44" xfId="1" applyFont="1" applyBorder="1" applyAlignment="1">
      <alignment horizontal="center"/>
    </xf>
    <xf numFmtId="0" fontId="51" fillId="0" borderId="20" xfId="1" applyFont="1" applyBorder="1" applyAlignment="1">
      <alignment horizontal="center"/>
    </xf>
    <xf numFmtId="0" fontId="67" fillId="0" borderId="40" xfId="1" applyFont="1" applyBorder="1" applyAlignment="1">
      <alignment horizontal="center"/>
    </xf>
    <xf numFmtId="0" fontId="67" fillId="0" borderId="29" xfId="1" applyFont="1" applyBorder="1" applyAlignment="1">
      <alignment horizontal="center"/>
    </xf>
    <xf numFmtId="0" fontId="67" fillId="0" borderId="52" xfId="1" applyFont="1" applyBorder="1" applyAlignment="1">
      <alignment horizontal="center"/>
    </xf>
    <xf numFmtId="0" fontId="55" fillId="0" borderId="0" xfId="6" applyFont="1" applyAlignment="1">
      <alignment horizontal="center"/>
    </xf>
    <xf numFmtId="1" fontId="29" fillId="10" borderId="0" xfId="1" applyNumberFormat="1" applyFont="1" applyFill="1" applyAlignment="1">
      <alignment horizontal="left" vertical="center"/>
    </xf>
    <xf numFmtId="0" fontId="61" fillId="24" borderId="31" xfId="1" applyFont="1" applyFill="1" applyBorder="1" applyAlignment="1">
      <alignment horizontal="center"/>
    </xf>
    <xf numFmtId="0" fontId="61" fillId="24" borderId="32" xfId="1" applyFont="1" applyFill="1" applyBorder="1" applyAlignment="1">
      <alignment horizontal="center"/>
    </xf>
    <xf numFmtId="0" fontId="61" fillId="24" borderId="33" xfId="1" applyFont="1" applyFill="1" applyBorder="1" applyAlignment="1">
      <alignment horizontal="center"/>
    </xf>
    <xf numFmtId="49" fontId="62" fillId="0" borderId="1" xfId="1" applyNumberFormat="1" applyFont="1" applyBorder="1" applyAlignment="1">
      <alignment horizontal="center" vertical="center"/>
    </xf>
    <xf numFmtId="49" fontId="62" fillId="0" borderId="2" xfId="1" applyNumberFormat="1" applyFont="1" applyBorder="1" applyAlignment="1">
      <alignment horizontal="center" vertical="center"/>
    </xf>
    <xf numFmtId="49" fontId="62" fillId="0" borderId="3" xfId="1" applyNumberFormat="1" applyFont="1" applyBorder="1" applyAlignment="1">
      <alignment horizontal="center" vertical="center"/>
    </xf>
    <xf numFmtId="49" fontId="62" fillId="0" borderId="40" xfId="1" applyNumberFormat="1" applyFont="1" applyBorder="1" applyAlignment="1">
      <alignment horizontal="center" vertical="center"/>
    </xf>
    <xf numFmtId="49" fontId="62" fillId="0" borderId="29" xfId="1" applyNumberFormat="1" applyFont="1" applyBorder="1" applyAlignment="1">
      <alignment horizontal="center" vertical="center"/>
    </xf>
    <xf numFmtId="49" fontId="62" fillId="0" borderId="52" xfId="1" applyNumberFormat="1" applyFont="1" applyBorder="1" applyAlignment="1">
      <alignment horizontal="center" vertical="center"/>
    </xf>
    <xf numFmtId="49" fontId="63" fillId="0" borderId="1" xfId="6" applyNumberFormat="1" applyFont="1" applyBorder="1" applyAlignment="1">
      <alignment horizontal="center"/>
    </xf>
    <xf numFmtId="49" fontId="63" fillId="0" borderId="2" xfId="6" applyNumberFormat="1" applyFont="1" applyBorder="1" applyAlignment="1">
      <alignment horizontal="center"/>
    </xf>
    <xf numFmtId="49" fontId="63" fillId="0" borderId="3" xfId="6" applyNumberFormat="1" applyFont="1" applyBorder="1" applyAlignment="1">
      <alignment horizontal="center"/>
    </xf>
    <xf numFmtId="1" fontId="45" fillId="4" borderId="6" xfId="2" applyNumberFormat="1" applyFont="1" applyFill="1" applyBorder="1" applyAlignment="1">
      <alignment horizontal="center" vertical="center"/>
    </xf>
    <xf numFmtId="1" fontId="45" fillId="4" borderId="50" xfId="2" applyNumberFormat="1" applyFont="1" applyFill="1" applyBorder="1" applyAlignment="1">
      <alignment horizontal="center" vertical="center"/>
    </xf>
    <xf numFmtId="1" fontId="45" fillId="4" borderId="7" xfId="2" applyNumberFormat="1" applyFont="1" applyFill="1" applyBorder="1" applyAlignment="1">
      <alignment horizontal="center" vertical="center"/>
    </xf>
    <xf numFmtId="0" fontId="18" fillId="0" borderId="12" xfId="1" applyFont="1" applyBorder="1" applyAlignment="1">
      <alignment horizontal="left" vertical="center"/>
    </xf>
    <xf numFmtId="0" fontId="18" fillId="0" borderId="13" xfId="1" applyFont="1" applyBorder="1" applyAlignment="1">
      <alignment horizontal="left" vertical="center"/>
    </xf>
    <xf numFmtId="0" fontId="18" fillId="0" borderId="14" xfId="1" applyFont="1" applyBorder="1" applyAlignment="1">
      <alignment horizontal="left" vertical="center"/>
    </xf>
    <xf numFmtId="169" fontId="2" fillId="19" borderId="26" xfId="2" applyNumberFormat="1" applyFont="1" applyFill="1" applyBorder="1" applyAlignment="1">
      <alignment horizontal="center"/>
    </xf>
    <xf numFmtId="169" fontId="2" fillId="19" borderId="51" xfId="2" applyNumberFormat="1" applyFont="1" applyFill="1" applyBorder="1" applyAlignment="1">
      <alignment horizontal="center"/>
    </xf>
    <xf numFmtId="169" fontId="2" fillId="19" borderId="27" xfId="2" applyNumberFormat="1" applyFont="1" applyFill="1" applyBorder="1" applyAlignment="1">
      <alignment horizontal="center"/>
    </xf>
    <xf numFmtId="0" fontId="32" fillId="5" borderId="31" xfId="1" applyFont="1" applyFill="1" applyBorder="1" applyAlignment="1">
      <alignment horizontal="center"/>
    </xf>
    <xf numFmtId="0" fontId="6" fillId="0" borderId="32" xfId="1" applyBorder="1"/>
    <xf numFmtId="0" fontId="6" fillId="0" borderId="33" xfId="1" applyBorder="1"/>
    <xf numFmtId="0" fontId="18" fillId="0" borderId="54" xfId="1" applyFont="1" applyBorder="1" applyAlignment="1">
      <alignment horizontal="left" vertical="center" wrapText="1"/>
    </xf>
    <xf numFmtId="0" fontId="18" fillId="0" borderId="55" xfId="1" applyFont="1" applyBorder="1" applyAlignment="1">
      <alignment horizontal="left" vertical="center" wrapText="1"/>
    </xf>
    <xf numFmtId="0" fontId="18" fillId="0" borderId="56" xfId="1" applyFont="1" applyBorder="1" applyAlignment="1">
      <alignment horizontal="left" vertical="center" wrapText="1"/>
    </xf>
    <xf numFmtId="0" fontId="18" fillId="0" borderId="42" xfId="1" applyFont="1" applyBorder="1" applyAlignment="1">
      <alignment horizontal="left" vertical="center" wrapText="1"/>
    </xf>
    <xf numFmtId="0" fontId="18" fillId="0" borderId="0" xfId="1" applyFont="1" applyAlignment="1">
      <alignment horizontal="left" vertical="center" wrapText="1"/>
    </xf>
    <xf numFmtId="0" fontId="18" fillId="0" borderId="57" xfId="1" applyFont="1" applyBorder="1" applyAlignment="1">
      <alignment horizontal="left" vertical="center" wrapText="1"/>
    </xf>
    <xf numFmtId="0" fontId="18" fillId="0" borderId="59" xfId="1" applyFont="1" applyBorder="1" applyAlignment="1">
      <alignment horizontal="left" vertical="center" wrapText="1"/>
    </xf>
    <xf numFmtId="0" fontId="18" fillId="0" borderId="60" xfId="1" applyFont="1" applyBorder="1" applyAlignment="1">
      <alignment horizontal="left" vertical="center" wrapText="1"/>
    </xf>
    <xf numFmtId="0" fontId="18" fillId="0" borderId="43" xfId="1" applyFont="1" applyBorder="1" applyAlignment="1">
      <alignment horizontal="left" vertical="center" wrapText="1"/>
    </xf>
    <xf numFmtId="0" fontId="32" fillId="0" borderId="4" xfId="1" applyFont="1" applyBorder="1" applyAlignment="1">
      <alignment horizontal="center" vertical="center"/>
    </xf>
    <xf numFmtId="0" fontId="32" fillId="0" borderId="0" xfId="1" applyFont="1" applyAlignment="1">
      <alignment horizontal="center" vertical="center"/>
    </xf>
    <xf numFmtId="0" fontId="51" fillId="0" borderId="19" xfId="1" applyFont="1" applyBorder="1" applyAlignment="1">
      <alignment horizontal="center" vertical="center"/>
    </xf>
    <xf numFmtId="0" fontId="51" fillId="0" borderId="44" xfId="1" applyFont="1" applyBorder="1" applyAlignment="1">
      <alignment horizontal="center" vertical="center"/>
    </xf>
    <xf numFmtId="0" fontId="51" fillId="0" borderId="58" xfId="1" applyFont="1" applyBorder="1" applyAlignment="1">
      <alignment horizontal="center" vertical="center"/>
    </xf>
    <xf numFmtId="0" fontId="18" fillId="21" borderId="12" xfId="1" applyFont="1" applyFill="1" applyBorder="1" applyAlignment="1">
      <alignment horizontal="left" vertical="center"/>
    </xf>
    <xf numFmtId="0" fontId="18" fillId="21" borderId="13" xfId="1" applyFont="1" applyFill="1" applyBorder="1" applyAlignment="1">
      <alignment horizontal="left" vertical="center"/>
    </xf>
    <xf numFmtId="0" fontId="18" fillId="21" borderId="14" xfId="1" applyFont="1" applyFill="1" applyBorder="1" applyAlignment="1">
      <alignment horizontal="left" vertical="center"/>
    </xf>
    <xf numFmtId="0" fontId="38" fillId="0" borderId="23" xfId="1" applyFont="1" applyBorder="1" applyAlignment="1">
      <alignment horizontal="left" vertical="center"/>
    </xf>
    <xf numFmtId="0" fontId="38" fillId="23" borderId="23" xfId="1" applyFont="1" applyFill="1" applyBorder="1" applyAlignment="1">
      <alignment horizontal="right" vertical="center"/>
    </xf>
    <xf numFmtId="0" fontId="24" fillId="0" borderId="15" xfId="1" applyFont="1" applyBorder="1" applyAlignment="1">
      <alignment horizontal="center" vertical="center"/>
    </xf>
    <xf numFmtId="0" fontId="24" fillId="0" borderId="24" xfId="1" applyFont="1" applyBorder="1" applyAlignment="1">
      <alignment horizontal="center" vertical="center"/>
    </xf>
    <xf numFmtId="0" fontId="18" fillId="18" borderId="12" xfId="1" applyFont="1" applyFill="1" applyBorder="1" applyAlignment="1">
      <alignment horizontal="left" vertical="center"/>
    </xf>
    <xf numFmtId="0" fontId="18" fillId="18" borderId="13" xfId="1" applyFont="1" applyFill="1" applyBorder="1" applyAlignment="1">
      <alignment horizontal="left" vertical="center"/>
    </xf>
    <xf numFmtId="0" fontId="18" fillId="18" borderId="14" xfId="1" applyFont="1" applyFill="1" applyBorder="1" applyAlignment="1">
      <alignment horizontal="left" vertical="center"/>
    </xf>
    <xf numFmtId="0" fontId="6" fillId="0" borderId="35" xfId="1" applyBorder="1" applyAlignment="1">
      <alignment horizontal="center"/>
    </xf>
    <xf numFmtId="0" fontId="19" fillId="8" borderId="0" xfId="1" applyFont="1" applyFill="1" applyAlignment="1">
      <alignment horizontal="center"/>
    </xf>
    <xf numFmtId="2" fontId="43" fillId="0" borderId="1" xfId="5" applyNumberFormat="1" applyFont="1" applyBorder="1" applyAlignment="1">
      <alignment horizontal="center" vertical="center" wrapText="1"/>
    </xf>
    <xf numFmtId="2" fontId="6" fillId="0" borderId="2" xfId="3" applyNumberFormat="1" applyBorder="1" applyAlignment="1">
      <alignment vertical="center"/>
    </xf>
    <xf numFmtId="2" fontId="6" fillId="0" borderId="3" xfId="3" applyNumberFormat="1" applyBorder="1" applyAlignment="1">
      <alignment vertical="center"/>
    </xf>
    <xf numFmtId="2" fontId="6" fillId="0" borderId="4" xfId="3" applyNumberFormat="1" applyBorder="1" applyAlignment="1">
      <alignment vertical="center"/>
    </xf>
    <xf numFmtId="2" fontId="6" fillId="0" borderId="0" xfId="3" applyNumberFormat="1" applyAlignment="1">
      <alignment vertical="center"/>
    </xf>
    <xf numFmtId="2" fontId="6" fillId="0" borderId="11" xfId="3" applyNumberFormat="1" applyBorder="1" applyAlignment="1">
      <alignment vertical="center"/>
    </xf>
    <xf numFmtId="2" fontId="6" fillId="0" borderId="40" xfId="3" applyNumberFormat="1" applyBorder="1" applyAlignment="1">
      <alignment vertical="center"/>
    </xf>
    <xf numFmtId="2" fontId="6" fillId="0" borderId="29" xfId="3" applyNumberFormat="1" applyBorder="1" applyAlignment="1">
      <alignment vertical="center"/>
    </xf>
    <xf numFmtId="2" fontId="6" fillId="0" borderId="52" xfId="3" applyNumberFormat="1" applyBorder="1" applyAlignment="1">
      <alignment vertical="center"/>
    </xf>
    <xf numFmtId="0" fontId="10" fillId="17" borderId="12" xfId="1" applyFont="1" applyFill="1" applyBorder="1" applyAlignment="1">
      <alignment horizontal="center" vertical="center"/>
    </xf>
    <xf numFmtId="0" fontId="10" fillId="17" borderId="14" xfId="1" applyFont="1" applyFill="1" applyBorder="1" applyAlignment="1">
      <alignment horizontal="center" vertical="center"/>
    </xf>
    <xf numFmtId="169" fontId="2" fillId="19" borderId="48" xfId="2" applyNumberFormat="1" applyFont="1" applyFill="1" applyBorder="1" applyAlignment="1">
      <alignment horizontal="center"/>
    </xf>
    <xf numFmtId="169" fontId="2" fillId="19" borderId="32" xfId="2" applyNumberFormat="1" applyFont="1" applyFill="1" applyBorder="1" applyAlignment="1">
      <alignment horizontal="center"/>
    </xf>
    <xf numFmtId="169" fontId="2" fillId="19" borderId="33" xfId="2" applyNumberFormat="1" applyFont="1" applyFill="1" applyBorder="1" applyAlignment="1">
      <alignment horizontal="center"/>
    </xf>
    <xf numFmtId="0" fontId="32" fillId="5" borderId="31" xfId="1" applyFont="1" applyFill="1" applyBorder="1" applyAlignment="1">
      <alignment horizontal="center" vertical="center"/>
    </xf>
    <xf numFmtId="0" fontId="32" fillId="5" borderId="32" xfId="1" applyFont="1" applyFill="1" applyBorder="1" applyAlignment="1">
      <alignment horizontal="center" vertical="center"/>
    </xf>
    <xf numFmtId="0" fontId="32" fillId="5" borderId="33" xfId="1" applyFont="1" applyFill="1" applyBorder="1" applyAlignment="1">
      <alignment horizontal="center" vertical="center"/>
    </xf>
    <xf numFmtId="0" fontId="18" fillId="7" borderId="12" xfId="1" applyFont="1" applyFill="1" applyBorder="1" applyAlignment="1">
      <alignment horizontal="left" vertical="center"/>
    </xf>
    <xf numFmtId="0" fontId="18" fillId="7" borderId="13" xfId="1" applyFont="1" applyFill="1" applyBorder="1" applyAlignment="1">
      <alignment horizontal="left" vertical="center"/>
    </xf>
    <xf numFmtId="0" fontId="18" fillId="7" borderId="14" xfId="1" applyFont="1" applyFill="1" applyBorder="1" applyAlignment="1">
      <alignment horizontal="left" vertical="center"/>
    </xf>
    <xf numFmtId="169" fontId="4" fillId="2" borderId="19" xfId="2" applyNumberFormat="1" applyFont="1" applyFill="1" applyBorder="1" applyAlignment="1">
      <alignment horizontal="center"/>
    </xf>
    <xf numFmtId="169" fontId="4" fillId="2" borderId="44" xfId="2" applyNumberFormat="1" applyFont="1" applyFill="1" applyBorder="1" applyAlignment="1">
      <alignment horizontal="center"/>
    </xf>
    <xf numFmtId="169" fontId="4" fillId="2" borderId="20" xfId="2" applyNumberFormat="1" applyFont="1" applyFill="1" applyBorder="1" applyAlignment="1">
      <alignment horizontal="center"/>
    </xf>
    <xf numFmtId="0" fontId="13" fillId="0" borderId="23" xfId="1" applyFont="1" applyBorder="1" applyAlignment="1">
      <alignment horizontal="left" vertical="center"/>
    </xf>
    <xf numFmtId="1" fontId="1" fillId="3" borderId="46" xfId="2" applyNumberFormat="1" applyFill="1" applyBorder="1" applyAlignment="1">
      <alignment horizontal="center"/>
    </xf>
    <xf numFmtId="1" fontId="1" fillId="3" borderId="47" xfId="2" applyNumberFormat="1" applyFill="1" applyBorder="1" applyAlignment="1">
      <alignment horizontal="center"/>
    </xf>
    <xf numFmtId="14" fontId="24" fillId="0" borderId="15" xfId="1" applyNumberFormat="1" applyFont="1" applyBorder="1" applyAlignment="1">
      <alignment horizontal="center" vertical="center"/>
    </xf>
    <xf numFmtId="14" fontId="24" fillId="0" borderId="24" xfId="1" applyNumberFormat="1" applyFont="1" applyBorder="1" applyAlignment="1">
      <alignment horizontal="center" vertical="center"/>
    </xf>
    <xf numFmtId="10" fontId="43" fillId="0" borderId="37" xfId="5" applyNumberFormat="1" applyFont="1" applyBorder="1" applyAlignment="1">
      <alignment horizontal="center" vertical="center" wrapText="1"/>
    </xf>
    <xf numFmtId="10" fontId="43" fillId="0" borderId="2" xfId="5" applyNumberFormat="1" applyFont="1" applyBorder="1" applyAlignment="1">
      <alignment horizontal="center" vertical="center" wrapText="1"/>
    </xf>
    <xf numFmtId="10" fontId="43" fillId="0" borderId="38" xfId="5" applyNumberFormat="1" applyFont="1" applyBorder="1" applyAlignment="1">
      <alignment horizontal="center" vertical="center" wrapText="1"/>
    </xf>
    <xf numFmtId="10" fontId="43" fillId="0" borderId="21" xfId="5" applyNumberFormat="1" applyFont="1" applyBorder="1" applyAlignment="1">
      <alignment horizontal="center" vertical="center" wrapText="1"/>
    </xf>
    <xf numFmtId="10" fontId="43" fillId="0" borderId="0" xfId="5" applyNumberFormat="1" applyFont="1" applyBorder="1" applyAlignment="1">
      <alignment horizontal="center" vertical="center" wrapText="1"/>
    </xf>
    <xf numFmtId="10" fontId="43" fillId="0" borderId="22" xfId="5" applyNumberFormat="1" applyFont="1" applyBorder="1" applyAlignment="1">
      <alignment horizontal="center" vertical="center" wrapText="1"/>
    </xf>
    <xf numFmtId="10" fontId="43" fillId="0" borderId="28" xfId="5" applyNumberFormat="1" applyFont="1" applyBorder="1" applyAlignment="1">
      <alignment horizontal="center" vertical="center" wrapText="1"/>
    </xf>
    <xf numFmtId="10" fontId="43" fillId="0" borderId="29" xfId="5" applyNumberFormat="1" applyFont="1" applyBorder="1" applyAlignment="1">
      <alignment horizontal="center" vertical="center" wrapText="1"/>
    </xf>
    <xf numFmtId="10" fontId="43" fillId="0" borderId="30" xfId="5" applyNumberFormat="1" applyFont="1" applyBorder="1" applyAlignment="1">
      <alignment horizontal="center" vertical="center" wrapText="1"/>
    </xf>
    <xf numFmtId="0" fontId="40" fillId="0" borderId="12" xfId="1" applyFont="1" applyBorder="1" applyAlignment="1">
      <alignment horizontal="center" vertical="center"/>
    </xf>
    <xf numFmtId="0" fontId="40" fillId="0" borderId="13" xfId="1" applyFont="1" applyBorder="1" applyAlignment="1">
      <alignment horizontal="center" vertical="center"/>
    </xf>
    <xf numFmtId="0" fontId="40" fillId="0" borderId="14" xfId="1" applyFont="1" applyBorder="1" applyAlignment="1">
      <alignment horizontal="center" vertical="center"/>
    </xf>
    <xf numFmtId="0" fontId="38" fillId="7" borderId="12" xfId="1" applyFont="1" applyFill="1" applyBorder="1" applyAlignment="1">
      <alignment horizontal="left" vertical="center"/>
    </xf>
    <xf numFmtId="0" fontId="38" fillId="7" borderId="13" xfId="1" applyFont="1" applyFill="1" applyBorder="1" applyAlignment="1">
      <alignment horizontal="left" vertical="center"/>
    </xf>
    <xf numFmtId="0" fontId="38" fillId="7" borderId="14" xfId="1" applyFont="1" applyFill="1" applyBorder="1" applyAlignment="1">
      <alignment horizontal="left" vertical="center"/>
    </xf>
    <xf numFmtId="0" fontId="13" fillId="6" borderId="23" xfId="1" applyFont="1" applyFill="1" applyBorder="1" applyAlignment="1">
      <alignment horizontal="center" vertical="center"/>
    </xf>
    <xf numFmtId="0" fontId="13" fillId="15" borderId="23" xfId="1" applyFont="1" applyFill="1" applyBorder="1" applyAlignment="1">
      <alignment horizontal="center" vertical="center"/>
    </xf>
    <xf numFmtId="0" fontId="6" fillId="12" borderId="35" xfId="1" applyFill="1" applyBorder="1" applyAlignment="1">
      <alignment horizontal="center"/>
    </xf>
    <xf numFmtId="0" fontId="1" fillId="3" borderId="35" xfId="2" applyFill="1" applyBorder="1" applyAlignment="1">
      <alignment horizontal="center"/>
    </xf>
    <xf numFmtId="0" fontId="1" fillId="3" borderId="41" xfId="2" applyFill="1" applyBorder="1" applyAlignment="1">
      <alignment horizontal="center"/>
    </xf>
    <xf numFmtId="169" fontId="1" fillId="3" borderId="35" xfId="2" applyNumberFormat="1" applyFill="1" applyBorder="1" applyAlignment="1">
      <alignment horizontal="center"/>
    </xf>
    <xf numFmtId="169" fontId="1" fillId="3" borderId="41" xfId="2" applyNumberFormat="1" applyFill="1" applyBorder="1" applyAlignment="1">
      <alignment horizontal="center"/>
    </xf>
    <xf numFmtId="170" fontId="6" fillId="0" borderId="35" xfId="1" applyNumberFormat="1" applyBorder="1" applyAlignment="1">
      <alignment horizontal="center"/>
    </xf>
    <xf numFmtId="0" fontId="3" fillId="0" borderId="29" xfId="2" applyFont="1" applyBorder="1" applyAlignment="1">
      <alignment horizontal="center" vertical="center"/>
    </xf>
    <xf numFmtId="49" fontId="34" fillId="0" borderId="21" xfId="5" applyNumberFormat="1" applyFont="1" applyFill="1" applyBorder="1" applyAlignment="1">
      <alignment horizontal="center" vertical="top" wrapText="1"/>
    </xf>
    <xf numFmtId="49" fontId="34" fillId="0" borderId="0" xfId="5" applyNumberFormat="1" applyFont="1" applyFill="1" applyBorder="1" applyAlignment="1">
      <alignment horizontal="center" vertical="top" wrapText="1"/>
    </xf>
    <xf numFmtId="49" fontId="34" fillId="0" borderId="28" xfId="5" applyNumberFormat="1" applyFont="1" applyFill="1" applyBorder="1" applyAlignment="1">
      <alignment horizontal="center" vertical="top" wrapText="1"/>
    </xf>
    <xf numFmtId="49" fontId="34" fillId="0" borderId="29" xfId="5" applyNumberFormat="1" applyFont="1" applyFill="1" applyBorder="1" applyAlignment="1">
      <alignment horizontal="center" vertical="top" wrapText="1"/>
    </xf>
    <xf numFmtId="49" fontId="37" fillId="0" borderId="4" xfId="1" applyNumberFormat="1" applyFont="1" applyBorder="1" applyAlignment="1">
      <alignment horizontal="center" vertical="top" wrapText="1"/>
    </xf>
    <xf numFmtId="49" fontId="37" fillId="0" borderId="0" xfId="1" applyNumberFormat="1" applyFont="1" applyAlignment="1">
      <alignment horizontal="center" vertical="top" wrapText="1"/>
    </xf>
    <xf numFmtId="49" fontId="37" fillId="0" borderId="22" xfId="1" applyNumberFormat="1" applyFont="1" applyBorder="1" applyAlignment="1">
      <alignment horizontal="center" vertical="top" wrapText="1"/>
    </xf>
    <xf numFmtId="49" fontId="37" fillId="0" borderId="40" xfId="1" applyNumberFormat="1" applyFont="1" applyBorder="1" applyAlignment="1">
      <alignment horizontal="center" vertical="top" wrapText="1"/>
    </xf>
    <xf numFmtId="49" fontId="37" fillId="0" borderId="29" xfId="1" applyNumberFormat="1" applyFont="1" applyBorder="1" applyAlignment="1">
      <alignment horizontal="center" vertical="top" wrapText="1"/>
    </xf>
    <xf numFmtId="49" fontId="37" fillId="0" borderId="30" xfId="1" applyNumberFormat="1" applyFont="1" applyBorder="1" applyAlignment="1">
      <alignment horizontal="center" vertical="top" wrapText="1"/>
    </xf>
    <xf numFmtId="0" fontId="2" fillId="13" borderId="1" xfId="2" applyFont="1" applyFill="1" applyBorder="1" applyAlignment="1">
      <alignment horizontal="center"/>
    </xf>
    <xf numFmtId="0" fontId="2" fillId="13" borderId="2" xfId="2" applyFont="1" applyFill="1" applyBorder="1" applyAlignment="1">
      <alignment horizontal="center"/>
    </xf>
    <xf numFmtId="0" fontId="2" fillId="13" borderId="3" xfId="2" applyFont="1" applyFill="1" applyBorder="1" applyAlignment="1">
      <alignment horizontal="center"/>
    </xf>
    <xf numFmtId="0" fontId="10" fillId="6" borderId="23" xfId="1" applyFont="1" applyFill="1" applyBorder="1" applyAlignment="1">
      <alignment horizontal="center" vertical="center"/>
    </xf>
    <xf numFmtId="22" fontId="29" fillId="0" borderId="29" xfId="1" applyNumberFormat="1" applyFont="1" applyBorder="1"/>
    <xf numFmtId="0" fontId="2" fillId="2" borderId="31" xfId="2" applyFont="1" applyFill="1" applyBorder="1" applyAlignment="1">
      <alignment horizontal="center"/>
    </xf>
    <xf numFmtId="0" fontId="2" fillId="2" borderId="32" xfId="2" applyFont="1" applyFill="1" applyBorder="1" applyAlignment="1">
      <alignment horizontal="center"/>
    </xf>
    <xf numFmtId="0" fontId="2" fillId="2" borderId="33" xfId="2" applyFont="1" applyFill="1" applyBorder="1" applyAlignment="1">
      <alignment horizontal="center"/>
    </xf>
    <xf numFmtId="0" fontId="18" fillId="0" borderId="15" xfId="1" applyFont="1" applyBorder="1" applyAlignment="1" applyProtection="1">
      <alignment horizontal="left" vertical="center"/>
      <protection locked="0"/>
    </xf>
    <xf numFmtId="0" fontId="18" fillId="0" borderId="16" xfId="1" applyFont="1" applyBorder="1" applyAlignment="1" applyProtection="1">
      <alignment horizontal="left" vertical="center"/>
      <protection locked="0"/>
    </xf>
    <xf numFmtId="0" fontId="18" fillId="0" borderId="24" xfId="1" applyFont="1" applyBorder="1" applyAlignment="1" applyProtection="1">
      <alignment horizontal="left" vertical="center"/>
      <protection locked="0"/>
    </xf>
    <xf numFmtId="0" fontId="18" fillId="0" borderId="17" xfId="1" applyFont="1" applyBorder="1" applyAlignment="1" applyProtection="1">
      <alignment horizontal="center" vertical="center"/>
      <protection locked="0"/>
    </xf>
    <xf numFmtId="164" fontId="7" fillId="3" borderId="19" xfId="2" applyNumberFormat="1" applyFont="1" applyFill="1" applyBorder="1" applyAlignment="1">
      <alignment horizontal="center" vertical="center"/>
    </xf>
    <xf numFmtId="164" fontId="7" fillId="3" borderId="20" xfId="2" applyNumberFormat="1" applyFont="1" applyFill="1" applyBorder="1" applyAlignment="1">
      <alignment horizontal="center" vertical="center"/>
    </xf>
    <xf numFmtId="164" fontId="7" fillId="4" borderId="19" xfId="2" applyNumberFormat="1" applyFont="1" applyFill="1" applyBorder="1" applyAlignment="1">
      <alignment horizontal="center" vertical="center"/>
    </xf>
    <xf numFmtId="164" fontId="7" fillId="4" borderId="20" xfId="2" applyNumberFormat="1" applyFont="1" applyFill="1" applyBorder="1" applyAlignment="1">
      <alignment horizontal="center" vertical="center"/>
    </xf>
    <xf numFmtId="166" fontId="7" fillId="3" borderId="26" xfId="2" applyNumberFormat="1" applyFont="1" applyFill="1" applyBorder="1" applyAlignment="1">
      <alignment horizontal="center" vertical="center"/>
    </xf>
    <xf numFmtId="166" fontId="7" fillId="3" borderId="27" xfId="2" applyNumberFormat="1" applyFont="1" applyFill="1" applyBorder="1" applyAlignment="1">
      <alignment horizontal="center" vertical="center"/>
    </xf>
    <xf numFmtId="17" fontId="18" fillId="0" borderId="15" xfId="1" applyNumberFormat="1" applyFont="1" applyBorder="1" applyAlignment="1" applyProtection="1">
      <alignment horizontal="left" vertical="center"/>
      <protection locked="0"/>
    </xf>
    <xf numFmtId="17" fontId="18" fillId="0" borderId="16" xfId="1" applyNumberFormat="1" applyFont="1" applyBorder="1" applyAlignment="1" applyProtection="1">
      <alignment horizontal="left" vertical="center"/>
      <protection locked="0"/>
    </xf>
    <xf numFmtId="17" fontId="18" fillId="0" borderId="24" xfId="1" applyNumberFormat="1" applyFont="1" applyBorder="1" applyAlignment="1" applyProtection="1">
      <alignment horizontal="left" vertical="center"/>
      <protection locked="0"/>
    </xf>
    <xf numFmtId="14" fontId="18" fillId="0" borderId="15" xfId="1" applyNumberFormat="1" applyFont="1" applyBorder="1" applyAlignment="1" applyProtection="1">
      <alignment horizontal="left" vertical="center"/>
      <protection locked="0"/>
    </xf>
    <xf numFmtId="14" fontId="18" fillId="0" borderId="16" xfId="1" applyNumberFormat="1" applyFont="1" applyBorder="1" applyAlignment="1" applyProtection="1">
      <alignment horizontal="left" vertical="center"/>
      <protection locked="0"/>
    </xf>
    <xf numFmtId="14" fontId="18" fillId="0" borderId="24" xfId="1" applyNumberFormat="1" applyFont="1" applyBorder="1" applyAlignment="1" applyProtection="1">
      <alignment horizontal="left" vertical="center"/>
      <protection locked="0"/>
    </xf>
    <xf numFmtId="0" fontId="2" fillId="2" borderId="1" xfId="2" applyFont="1" applyFill="1" applyBorder="1" applyAlignment="1" applyProtection="1">
      <alignment horizontal="center"/>
      <protection locked="0"/>
    </xf>
    <xf numFmtId="0" fontId="2" fillId="2" borderId="2" xfId="2" applyFont="1" applyFill="1" applyBorder="1" applyAlignment="1" applyProtection="1">
      <alignment horizontal="center"/>
      <protection locked="0"/>
    </xf>
    <xf numFmtId="0" fontId="2" fillId="2" borderId="3" xfId="2" applyFont="1" applyFill="1" applyBorder="1" applyAlignment="1" applyProtection="1">
      <alignment horizontal="center"/>
      <protection locked="0"/>
    </xf>
    <xf numFmtId="164" fontId="7" fillId="3" borderId="6" xfId="2" applyNumberFormat="1" applyFont="1" applyFill="1" applyBorder="1" applyAlignment="1">
      <alignment horizontal="center" vertical="center"/>
    </xf>
    <xf numFmtId="164" fontId="7" fillId="3" borderId="7" xfId="2" applyNumberFormat="1" applyFont="1" applyFill="1" applyBorder="1" applyAlignment="1">
      <alignment horizontal="center" vertical="center"/>
    </xf>
    <xf numFmtId="164" fontId="7" fillId="4" borderId="6" xfId="2" applyNumberFormat="1" applyFont="1" applyFill="1" applyBorder="1" applyAlignment="1">
      <alignment horizontal="center" vertical="center"/>
    </xf>
    <xf numFmtId="164" fontId="7" fillId="4" borderId="7" xfId="2" applyNumberFormat="1" applyFont="1" applyFill="1" applyBorder="1" applyAlignment="1">
      <alignment horizontal="center" vertical="center"/>
    </xf>
    <xf numFmtId="0" fontId="8" fillId="0" borderId="8" xfId="1" applyFont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0" fontId="8" fillId="0" borderId="10" xfId="1" applyFont="1" applyBorder="1" applyAlignment="1">
      <alignment horizontal="center" vertical="center"/>
    </xf>
    <xf numFmtId="0" fontId="8" fillId="0" borderId="21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22" xfId="1" applyFont="1" applyBorder="1" applyAlignment="1">
      <alignment horizontal="center" vertical="center"/>
    </xf>
    <xf numFmtId="0" fontId="13" fillId="6" borderId="17" xfId="1" applyFont="1" applyFill="1" applyBorder="1" applyAlignment="1" applyProtection="1">
      <alignment horizontal="center" vertical="center"/>
      <protection locked="0"/>
    </xf>
    <xf numFmtId="0" fontId="10" fillId="6" borderId="12" xfId="1" applyFont="1" applyFill="1" applyBorder="1" applyAlignment="1">
      <alignment horizontal="center" vertical="center"/>
    </xf>
    <xf numFmtId="0" fontId="10" fillId="6" borderId="13" xfId="1" applyFont="1" applyFill="1" applyBorder="1" applyAlignment="1">
      <alignment horizontal="center" vertical="center"/>
    </xf>
    <xf numFmtId="0" fontId="10" fillId="6" borderId="14" xfId="1" applyFont="1" applyFill="1" applyBorder="1" applyAlignment="1">
      <alignment horizontal="center" vertical="center"/>
    </xf>
    <xf numFmtId="0" fontId="51" fillId="0" borderId="35" xfId="1" applyFont="1" applyBorder="1" applyAlignment="1">
      <alignment horizontal="center" vertical="center"/>
    </xf>
    <xf numFmtId="174" fontId="37" fillId="0" borderId="29" xfId="6" applyNumberFormat="1" applyFont="1" applyBorder="1" applyAlignment="1">
      <alignment horizontal="center" vertical="center"/>
    </xf>
    <xf numFmtId="0" fontId="5" fillId="27" borderId="35" xfId="0" applyFont="1" applyFill="1" applyBorder="1" applyAlignment="1">
      <alignment horizontal="left" vertical="center"/>
    </xf>
    <xf numFmtId="0" fontId="5" fillId="27" borderId="35" xfId="0" applyFont="1" applyFill="1" applyBorder="1" applyAlignment="1">
      <alignment horizontal="right" vertical="center"/>
    </xf>
    <xf numFmtId="0" fontId="73" fillId="27" borderId="35" xfId="0" applyFont="1" applyFill="1" applyBorder="1" applyAlignment="1">
      <alignment horizontal="left" vertical="center"/>
    </xf>
    <xf numFmtId="0" fontId="73" fillId="27" borderId="35" xfId="0" applyFont="1" applyFill="1" applyBorder="1" applyAlignment="1">
      <alignment horizontal="right" vertical="center"/>
    </xf>
    <xf numFmtId="0" fontId="0" fillId="0" borderId="35" xfId="0" applyBorder="1"/>
    <xf numFmtId="0" fontId="51" fillId="0" borderId="19" xfId="3" applyFont="1" applyBorder="1" applyAlignment="1">
      <alignment horizontal="center" vertical="center"/>
    </xf>
    <xf numFmtId="0" fontId="51" fillId="0" borderId="44" xfId="3" applyFont="1" applyBorder="1" applyAlignment="1">
      <alignment horizontal="center" vertical="center"/>
    </xf>
    <xf numFmtId="0" fontId="51" fillId="0" borderId="58" xfId="3" applyFont="1" applyBorder="1" applyAlignment="1">
      <alignment horizontal="center" vertical="center"/>
    </xf>
    <xf numFmtId="0" fontId="53" fillId="0" borderId="35" xfId="3" applyFont="1" applyBorder="1" applyAlignment="1">
      <alignment horizontal="center" vertical="center"/>
    </xf>
    <xf numFmtId="1" fontId="54" fillId="10" borderId="35" xfId="3" applyNumberFormat="1" applyFont="1" applyFill="1" applyBorder="1" applyAlignment="1">
      <alignment horizontal="center" vertical="center"/>
    </xf>
    <xf numFmtId="2" fontId="54" fillId="10" borderId="35" xfId="3" applyNumberFormat="1" applyFont="1" applyFill="1" applyBorder="1" applyAlignment="1">
      <alignment horizontal="center" vertical="center"/>
    </xf>
    <xf numFmtId="0" fontId="54" fillId="0" borderId="35" xfId="3" applyFont="1" applyBorder="1" applyAlignment="1">
      <alignment horizontal="center" vertical="center"/>
    </xf>
    <xf numFmtId="0" fontId="0" fillId="0" borderId="0" xfId="0" applyAlignment="1"/>
    <xf numFmtId="0" fontId="6" fillId="0" borderId="1" xfId="3" applyBorder="1"/>
    <xf numFmtId="0" fontId="6" fillId="0" borderId="2" xfId="3" applyBorder="1"/>
    <xf numFmtId="0" fontId="6" fillId="0" borderId="3" xfId="3" applyBorder="1"/>
    <xf numFmtId="0" fontId="6" fillId="0" borderId="4" xfId="3" applyBorder="1"/>
    <xf numFmtId="0" fontId="8" fillId="0" borderId="8" xfId="3" applyFont="1" applyBorder="1" applyAlignment="1">
      <alignment horizontal="center" vertical="center"/>
    </xf>
    <xf numFmtId="0" fontId="8" fillId="0" borderId="9" xfId="3" applyFont="1" applyBorder="1" applyAlignment="1">
      <alignment horizontal="center" vertical="center"/>
    </xf>
    <xf numFmtId="0" fontId="8" fillId="0" borderId="10" xfId="3" applyFont="1" applyBorder="1" applyAlignment="1">
      <alignment horizontal="center" vertical="center"/>
    </xf>
    <xf numFmtId="0" fontId="9" fillId="5" borderId="0" xfId="3" applyFont="1" applyFill="1" applyAlignment="1">
      <alignment horizontal="left" vertical="center"/>
    </xf>
    <xf numFmtId="0" fontId="6" fillId="5" borderId="0" xfId="3" applyFill="1" applyAlignment="1">
      <alignment horizontal="left" vertical="center"/>
    </xf>
    <xf numFmtId="0" fontId="6" fillId="5" borderId="0" xfId="3" applyFill="1"/>
    <xf numFmtId="0" fontId="6" fillId="0" borderId="11" xfId="3" applyBorder="1"/>
    <xf numFmtId="0" fontId="8" fillId="0" borderId="21" xfId="3" applyFont="1" applyBorder="1" applyAlignment="1">
      <alignment horizontal="center" vertical="center"/>
    </xf>
    <xf numFmtId="0" fontId="8" fillId="0" borderId="0" xfId="3" applyFont="1" applyAlignment="1">
      <alignment horizontal="center" vertical="center"/>
    </xf>
    <xf numFmtId="0" fontId="8" fillId="0" borderId="22" xfId="3" applyFont="1" applyBorder="1" applyAlignment="1">
      <alignment horizontal="center" vertical="center"/>
    </xf>
    <xf numFmtId="0" fontId="15" fillId="0" borderId="0" xfId="6" applyFont="1" applyAlignment="1">
      <alignment horizontal="left" vertical="center"/>
    </xf>
    <xf numFmtId="0" fontId="6" fillId="0" borderId="0" xfId="6" applyAlignment="1">
      <alignment vertical="center"/>
    </xf>
    <xf numFmtId="0" fontId="6" fillId="0" borderId="0" xfId="6"/>
    <xf numFmtId="0" fontId="15" fillId="0" borderId="0" xfId="6" applyFont="1" applyAlignment="1">
      <alignment horizontal="right" vertical="center"/>
    </xf>
    <xf numFmtId="1" fontId="15" fillId="0" borderId="0" xfId="6" applyNumberFormat="1" applyFont="1" applyAlignment="1">
      <alignment horizontal="left" vertical="center"/>
    </xf>
    <xf numFmtId="14" fontId="22" fillId="0" borderId="0" xfId="3" applyNumberFormat="1" applyFont="1" applyAlignment="1">
      <alignment horizontal="left" vertical="center"/>
    </xf>
    <xf numFmtId="0" fontId="25" fillId="0" borderId="0" xfId="3" applyFont="1"/>
    <xf numFmtId="0" fontId="28" fillId="0" borderId="0" xfId="3" applyFont="1"/>
    <xf numFmtId="0" fontId="29" fillId="0" borderId="0" xfId="3" applyFont="1" applyAlignment="1">
      <alignment horizontal="right" vertical="center"/>
    </xf>
    <xf numFmtId="0" fontId="6" fillId="0" borderId="28" xfId="3" applyBorder="1"/>
    <xf numFmtId="0" fontId="6" fillId="0" borderId="29" xfId="3" applyBorder="1"/>
    <xf numFmtId="0" fontId="6" fillId="0" borderId="30" xfId="3" applyBorder="1"/>
    <xf numFmtId="0" fontId="30" fillId="0" borderId="0" xfId="3" applyFont="1" applyAlignment="1">
      <alignment horizontal="right" vertical="top"/>
    </xf>
    <xf numFmtId="14" fontId="30" fillId="0" borderId="29" xfId="3" applyNumberFormat="1" applyFont="1" applyBorder="1" applyAlignment="1">
      <alignment horizontal="left" vertical="top"/>
    </xf>
    <xf numFmtId="0" fontId="29" fillId="0" borderId="29" xfId="3" applyFont="1" applyBorder="1"/>
    <xf numFmtId="0" fontId="31" fillId="0" borderId="29" xfId="3" applyFont="1" applyBorder="1" applyAlignment="1">
      <alignment horizontal="left"/>
    </xf>
    <xf numFmtId="22" fontId="29" fillId="0" borderId="29" xfId="3" applyNumberFormat="1" applyFont="1" applyBorder="1"/>
    <xf numFmtId="0" fontId="32" fillId="5" borderId="31" xfId="3" applyFont="1" applyFill="1" applyBorder="1" applyAlignment="1">
      <alignment horizontal="center" vertical="center"/>
    </xf>
    <xf numFmtId="0" fontId="32" fillId="5" borderId="34" xfId="3" applyFont="1" applyFill="1" applyBorder="1" applyAlignment="1">
      <alignment horizontal="center" vertical="center"/>
    </xf>
    <xf numFmtId="0" fontId="32" fillId="5" borderId="31" xfId="3" applyFont="1" applyFill="1" applyBorder="1" applyAlignment="1">
      <alignment horizontal="center" vertical="center"/>
    </xf>
    <xf numFmtId="0" fontId="32" fillId="5" borderId="33" xfId="3" applyFont="1" applyFill="1" applyBorder="1" applyAlignment="1">
      <alignment horizontal="center" vertical="center"/>
    </xf>
    <xf numFmtId="0" fontId="32" fillId="5" borderId="32" xfId="3" applyFont="1" applyFill="1" applyBorder="1" applyAlignment="1">
      <alignment horizontal="center" vertical="center"/>
    </xf>
    <xf numFmtId="49" fontId="33" fillId="0" borderId="4" xfId="3" applyNumberFormat="1" applyFont="1" applyBorder="1" applyAlignment="1">
      <alignment horizontal="center"/>
    </xf>
    <xf numFmtId="0" fontId="29" fillId="0" borderId="36" xfId="3" applyFont="1" applyBorder="1"/>
    <xf numFmtId="0" fontId="6" fillId="0" borderId="36" xfId="3" applyBorder="1"/>
    <xf numFmtId="0" fontId="6" fillId="0" borderId="37" xfId="3" applyBorder="1" applyAlignment="1">
      <alignment horizontal="center"/>
    </xf>
    <xf numFmtId="0" fontId="6" fillId="0" borderId="38" xfId="3" applyBorder="1"/>
    <xf numFmtId="49" fontId="35" fillId="0" borderId="4" xfId="3" applyNumberFormat="1" applyFont="1" applyBorder="1" applyAlignment="1">
      <alignment horizontal="center" vertical="center"/>
    </xf>
    <xf numFmtId="0" fontId="35" fillId="0" borderId="39" xfId="3" applyFont="1" applyBorder="1" applyAlignment="1">
      <alignment horizontal="center" vertical="center"/>
    </xf>
    <xf numFmtId="2" fontId="36" fillId="0" borderId="21" xfId="3" applyNumberFormat="1" applyFont="1" applyBorder="1" applyAlignment="1">
      <alignment horizontal="center" vertical="center"/>
    </xf>
    <xf numFmtId="2" fontId="35" fillId="0" borderId="22" xfId="3" applyNumberFormat="1" applyFont="1" applyBorder="1" applyAlignment="1">
      <alignment horizontal="center" vertical="center"/>
    </xf>
    <xf numFmtId="49" fontId="37" fillId="0" borderId="4" xfId="3" applyNumberFormat="1" applyFont="1" applyBorder="1" applyAlignment="1">
      <alignment horizontal="center" vertical="top" wrapText="1"/>
    </xf>
    <xf numFmtId="49" fontId="37" fillId="0" borderId="0" xfId="3" applyNumberFormat="1" applyFont="1" applyAlignment="1">
      <alignment horizontal="center" vertical="top" wrapText="1"/>
    </xf>
    <xf numFmtId="49" fontId="37" fillId="0" borderId="22" xfId="3" applyNumberFormat="1" applyFont="1" applyBorder="1" applyAlignment="1">
      <alignment horizontal="center" vertical="top" wrapText="1"/>
    </xf>
    <xf numFmtId="49" fontId="37" fillId="0" borderId="40" xfId="3" applyNumberFormat="1" applyFont="1" applyBorder="1" applyAlignment="1">
      <alignment horizontal="center" vertical="top" wrapText="1"/>
    </xf>
    <xf numFmtId="49" fontId="37" fillId="0" borderId="29" xfId="3" applyNumberFormat="1" applyFont="1" applyBorder="1" applyAlignment="1">
      <alignment horizontal="center" vertical="top" wrapText="1"/>
    </xf>
    <xf numFmtId="49" fontId="37" fillId="0" borderId="30" xfId="3" applyNumberFormat="1" applyFont="1" applyBorder="1" applyAlignment="1">
      <alignment horizontal="center" vertical="top" wrapText="1"/>
    </xf>
    <xf numFmtId="0" fontId="41" fillId="0" borderId="0" xfId="3" applyFont="1"/>
    <xf numFmtId="0" fontId="35" fillId="0" borderId="22" xfId="3" applyFont="1" applyBorder="1" applyAlignment="1">
      <alignment vertical="center"/>
    </xf>
    <xf numFmtId="2" fontId="6" fillId="0" borderId="2" xfId="6" applyNumberFormat="1" applyBorder="1" applyAlignment="1">
      <alignment vertical="center"/>
    </xf>
    <xf numFmtId="2" fontId="6" fillId="0" borderId="3" xfId="6" applyNumberFormat="1" applyBorder="1" applyAlignment="1">
      <alignment vertical="center"/>
    </xf>
    <xf numFmtId="2" fontId="6" fillId="0" borderId="4" xfId="6" applyNumberFormat="1" applyBorder="1" applyAlignment="1">
      <alignment vertical="center"/>
    </xf>
    <xf numFmtId="2" fontId="6" fillId="0" borderId="0" xfId="6" applyNumberFormat="1" applyAlignment="1">
      <alignment vertical="center"/>
    </xf>
    <xf numFmtId="2" fontId="6" fillId="0" borderId="11" xfId="6" applyNumberFormat="1" applyBorder="1" applyAlignment="1">
      <alignment vertical="center"/>
    </xf>
    <xf numFmtId="2" fontId="35" fillId="0" borderId="21" xfId="3" applyNumberFormat="1" applyFont="1" applyBorder="1" applyAlignment="1">
      <alignment horizontal="center" vertical="center"/>
    </xf>
    <xf numFmtId="2" fontId="6" fillId="0" borderId="40" xfId="6" applyNumberFormat="1" applyBorder="1" applyAlignment="1">
      <alignment vertical="center"/>
    </xf>
    <xf numFmtId="2" fontId="6" fillId="0" borderId="29" xfId="6" applyNumberFormat="1" applyBorder="1" applyAlignment="1">
      <alignment vertical="center"/>
    </xf>
    <xf numFmtId="2" fontId="6" fillId="0" borderId="52" xfId="6" applyNumberFormat="1" applyBorder="1" applyAlignment="1">
      <alignment vertical="center"/>
    </xf>
    <xf numFmtId="0" fontId="6" fillId="0" borderId="21" xfId="3" applyBorder="1"/>
    <xf numFmtId="0" fontId="6" fillId="0" borderId="53" xfId="3" applyBorder="1"/>
    <xf numFmtId="0" fontId="32" fillId="5" borderId="31" xfId="3" applyFont="1" applyFill="1" applyBorder="1" applyAlignment="1">
      <alignment horizontal="center"/>
    </xf>
    <xf numFmtId="0" fontId="6" fillId="0" borderId="32" xfId="3" applyBorder="1"/>
    <xf numFmtId="0" fontId="6" fillId="0" borderId="33" xfId="3" applyBorder="1"/>
    <xf numFmtId="0" fontId="48" fillId="0" borderId="1" xfId="3" applyFont="1" applyBorder="1"/>
    <xf numFmtId="0" fontId="48" fillId="0" borderId="2" xfId="3" applyFont="1" applyBorder="1" applyAlignment="1">
      <alignment horizontal="left"/>
    </xf>
    <xf numFmtId="0" fontId="48" fillId="0" borderId="2" xfId="3" applyFont="1" applyBorder="1"/>
    <xf numFmtId="0" fontId="49" fillId="0" borderId="2" xfId="3" applyFont="1" applyBorder="1" applyAlignment="1">
      <alignment horizontal="left"/>
    </xf>
    <xf numFmtId="0" fontId="48" fillId="0" borderId="50" xfId="3" applyFont="1" applyBorder="1" applyAlignment="1">
      <alignment horizontal="left"/>
    </xf>
    <xf numFmtId="0" fontId="48" fillId="0" borderId="3" xfId="3" applyFont="1" applyBorder="1"/>
    <xf numFmtId="0" fontId="48" fillId="0" borderId="11" xfId="3" applyFont="1" applyBorder="1"/>
    <xf numFmtId="0" fontId="48" fillId="0" borderId="0" xfId="3" applyFont="1"/>
    <xf numFmtId="0" fontId="32" fillId="0" borderId="4" xfId="3" applyFont="1" applyBorder="1"/>
    <xf numFmtId="0" fontId="50" fillId="0" borderId="0" xfId="3" applyFont="1"/>
    <xf numFmtId="0" fontId="51" fillId="0" borderId="0" xfId="3" applyFont="1"/>
    <xf numFmtId="0" fontId="52" fillId="0" borderId="11" xfId="3" applyFont="1" applyBorder="1"/>
    <xf numFmtId="0" fontId="52" fillId="0" borderId="0" xfId="3" applyFont="1"/>
    <xf numFmtId="0" fontId="6" fillId="10" borderId="0" xfId="3" applyFill="1"/>
    <xf numFmtId="0" fontId="6" fillId="10" borderId="11" xfId="3" applyFill="1" applyBorder="1"/>
    <xf numFmtId="0" fontId="6" fillId="10" borderId="4" xfId="3" applyFill="1" applyBorder="1"/>
    <xf numFmtId="2" fontId="6" fillId="0" borderId="0" xfId="3" applyNumberFormat="1"/>
    <xf numFmtId="0" fontId="49" fillId="0" borderId="0" xfId="3" applyFont="1"/>
    <xf numFmtId="0" fontId="48" fillId="10" borderId="4" xfId="3" applyFont="1" applyFill="1" applyBorder="1"/>
    <xf numFmtId="0" fontId="48" fillId="10" borderId="0" xfId="3" applyFont="1" applyFill="1"/>
    <xf numFmtId="0" fontId="29" fillId="0" borderId="0" xfId="3" applyFont="1" applyAlignment="1">
      <alignment horizontal="center"/>
    </xf>
    <xf numFmtId="0" fontId="29" fillId="0" borderId="11" xfId="3" applyFont="1" applyBorder="1" applyAlignment="1">
      <alignment horizontal="center"/>
    </xf>
    <xf numFmtId="0" fontId="6" fillId="10" borderId="29" xfId="3" applyFill="1" applyBorder="1"/>
    <xf numFmtId="0" fontId="61" fillId="24" borderId="31" xfId="3" applyFont="1" applyFill="1" applyBorder="1" applyAlignment="1">
      <alignment horizontal="center"/>
    </xf>
    <xf numFmtId="0" fontId="61" fillId="24" borderId="32" xfId="3" applyFont="1" applyFill="1" applyBorder="1" applyAlignment="1">
      <alignment horizontal="center"/>
    </xf>
    <xf numFmtId="0" fontId="61" fillId="24" borderId="33" xfId="3" applyFont="1" applyFill="1" applyBorder="1" applyAlignment="1">
      <alignment horizontal="center"/>
    </xf>
    <xf numFmtId="0" fontId="33" fillId="0" borderId="31" xfId="3" applyFont="1" applyBorder="1" applyAlignment="1">
      <alignment horizontal="center"/>
    </xf>
    <xf numFmtId="0" fontId="33" fillId="0" borderId="32" xfId="3" applyFont="1" applyBorder="1" applyAlignment="1">
      <alignment horizontal="center"/>
    </xf>
    <xf numFmtId="0" fontId="33" fillId="0" borderId="33" xfId="3" applyFont="1" applyBorder="1" applyAlignment="1">
      <alignment horizontal="center"/>
    </xf>
    <xf numFmtId="49" fontId="62" fillId="0" borderId="40" xfId="3" applyNumberFormat="1" applyFont="1" applyBorder="1" applyAlignment="1">
      <alignment horizontal="center"/>
    </xf>
    <xf numFmtId="0" fontId="37" fillId="0" borderId="29" xfId="3" applyFont="1" applyBorder="1" applyAlignment="1">
      <alignment horizontal="center" vertical="center"/>
    </xf>
    <xf numFmtId="165" fontId="37" fillId="0" borderId="52" xfId="3" applyNumberFormat="1" applyFont="1" applyBorder="1" applyAlignment="1">
      <alignment horizontal="center"/>
    </xf>
    <xf numFmtId="0" fontId="37" fillId="0" borderId="32" xfId="3" applyFont="1" applyBorder="1" applyAlignment="1">
      <alignment horizontal="center" vertical="center"/>
    </xf>
    <xf numFmtId="0" fontId="64" fillId="0" borderId="4" xfId="3" applyFont="1" applyBorder="1" applyAlignment="1">
      <alignment horizontal="center" vertical="center" wrapText="1"/>
    </xf>
    <xf numFmtId="0" fontId="64" fillId="0" borderId="0" xfId="3" applyFont="1" applyAlignment="1">
      <alignment horizontal="center" vertical="center" wrapText="1"/>
    </xf>
    <xf numFmtId="0" fontId="64" fillId="0" borderId="11" xfId="3" applyFont="1" applyBorder="1" applyAlignment="1">
      <alignment horizontal="center" vertical="center" wrapText="1"/>
    </xf>
    <xf numFmtId="0" fontId="59" fillId="0" borderId="62" xfId="3" applyFont="1" applyBorder="1" applyAlignment="1">
      <alignment horizontal="center"/>
    </xf>
    <xf numFmtId="0" fontId="59" fillId="0" borderId="63" xfId="3" applyFont="1" applyBorder="1" applyAlignment="1">
      <alignment horizontal="center"/>
    </xf>
    <xf numFmtId="0" fontId="59" fillId="0" borderId="64" xfId="3" applyFont="1" applyBorder="1" applyAlignment="1">
      <alignment horizontal="center"/>
    </xf>
    <xf numFmtId="0" fontId="51" fillId="0" borderId="65" xfId="3" applyFont="1" applyBorder="1" applyAlignment="1">
      <alignment horizontal="center"/>
    </xf>
    <xf numFmtId="0" fontId="51" fillId="0" borderId="44" xfId="3" applyFont="1" applyBorder="1" applyAlignment="1">
      <alignment horizontal="center"/>
    </xf>
    <xf numFmtId="0" fontId="51" fillId="0" borderId="20" xfId="3" applyFont="1" applyBorder="1" applyAlignment="1">
      <alignment horizontal="center"/>
    </xf>
    <xf numFmtId="0" fontId="67" fillId="0" borderId="40" xfId="3" applyFont="1" applyBorder="1" applyAlignment="1">
      <alignment horizontal="center"/>
    </xf>
    <xf numFmtId="0" fontId="67" fillId="0" borderId="29" xfId="3" applyFont="1" applyBorder="1" applyAlignment="1">
      <alignment horizontal="center"/>
    </xf>
    <xf numFmtId="0" fontId="67" fillId="0" borderId="52" xfId="3" applyFont="1" applyBorder="1" applyAlignment="1">
      <alignment horizontal="center"/>
    </xf>
    <xf numFmtId="0" fontId="6" fillId="0" borderId="40" xfId="3" applyBorder="1"/>
    <xf numFmtId="0" fontId="6" fillId="0" borderId="52" xfId="3" applyBorder="1"/>
    <xf numFmtId="0" fontId="29" fillId="0" borderId="0" xfId="3" applyFont="1"/>
    <xf numFmtId="0" fontId="6" fillId="0" borderId="8" xfId="3" applyBorder="1"/>
    <xf numFmtId="0" fontId="6" fillId="0" borderId="9" xfId="3" applyBorder="1"/>
    <xf numFmtId="0" fontId="6" fillId="0" borderId="10" xfId="3" applyBorder="1"/>
    <xf numFmtId="0" fontId="6" fillId="0" borderId="68" xfId="3" applyBorder="1"/>
    <xf numFmtId="0" fontId="6" fillId="0" borderId="63" xfId="3" applyBorder="1"/>
    <xf numFmtId="0" fontId="6" fillId="0" borderId="69" xfId="3" applyBorder="1"/>
    <xf numFmtId="10" fontId="29" fillId="0" borderId="0" xfId="3" applyNumberFormat="1" applyFont="1"/>
    <xf numFmtId="0" fontId="52" fillId="0" borderId="35" xfId="3" applyFont="1" applyBorder="1" applyAlignment="1">
      <alignment horizontal="center"/>
    </xf>
    <xf numFmtId="0" fontId="52" fillId="0" borderId="19" xfId="3" applyFont="1" applyBorder="1" applyAlignment="1">
      <alignment horizontal="center"/>
    </xf>
    <xf numFmtId="0" fontId="32" fillId="0" borderId="35" xfId="3" applyFont="1" applyBorder="1" applyAlignment="1">
      <alignment horizontal="center"/>
    </xf>
    <xf numFmtId="0" fontId="68" fillId="0" borderId="58" xfId="3" applyFont="1" applyBorder="1" applyAlignment="1">
      <alignment horizontal="centerContinuous"/>
    </xf>
    <xf numFmtId="0" fontId="69" fillId="0" borderId="44" xfId="3" applyFont="1" applyBorder="1" applyAlignment="1">
      <alignment horizontal="centerContinuous"/>
    </xf>
    <xf numFmtId="0" fontId="68" fillId="0" borderId="35" xfId="3" applyFont="1" applyBorder="1" applyAlignment="1">
      <alignment horizontal="centerContinuous"/>
    </xf>
    <xf numFmtId="0" fontId="69" fillId="0" borderId="58" xfId="3" applyFont="1" applyBorder="1" applyAlignment="1">
      <alignment horizontal="centerContinuous"/>
    </xf>
    <xf numFmtId="49" fontId="68" fillId="0" borderId="35" xfId="3" applyNumberFormat="1" applyFont="1" applyBorder="1" applyAlignment="1">
      <alignment horizontal="center"/>
    </xf>
    <xf numFmtId="0" fontId="52" fillId="10" borderId="63" xfId="3" applyFont="1" applyFill="1" applyBorder="1" applyAlignment="1">
      <alignment horizontal="center"/>
    </xf>
    <xf numFmtId="2" fontId="52" fillId="25" borderId="35" xfId="3" applyNumberFormat="1" applyFont="1" applyFill="1" applyBorder="1" applyAlignment="1">
      <alignment horizontal="center"/>
    </xf>
    <xf numFmtId="171" fontId="32" fillId="26" borderId="35" xfId="3" applyNumberFormat="1" applyFont="1" applyFill="1" applyBorder="1" applyAlignment="1">
      <alignment horizontal="center"/>
    </xf>
    <xf numFmtId="172" fontId="52" fillId="10" borderId="58" xfId="3" applyNumberFormat="1" applyFont="1" applyFill="1" applyBorder="1" applyAlignment="1">
      <alignment horizontal="center"/>
    </xf>
    <xf numFmtId="2" fontId="52" fillId="10" borderId="63" xfId="3" applyNumberFormat="1" applyFont="1" applyFill="1" applyBorder="1" applyAlignment="1">
      <alignment horizontal="center"/>
    </xf>
    <xf numFmtId="173" fontId="52" fillId="10" borderId="58" xfId="3" applyNumberFormat="1" applyFont="1" applyFill="1" applyBorder="1" applyAlignment="1">
      <alignment horizontal="center"/>
    </xf>
    <xf numFmtId="2" fontId="52" fillId="10" borderId="69" xfId="3" applyNumberFormat="1" applyFont="1" applyFill="1" applyBorder="1" applyAlignment="1">
      <alignment horizontal="center"/>
    </xf>
    <xf numFmtId="2" fontId="68" fillId="0" borderId="58" xfId="3" applyNumberFormat="1" applyFont="1" applyBorder="1" applyAlignment="1">
      <alignment horizontal="centerContinuous"/>
    </xf>
    <xf numFmtId="171" fontId="52" fillId="25" borderId="35" xfId="3" applyNumberFormat="1" applyFont="1" applyFill="1" applyBorder="1" applyAlignment="1">
      <alignment horizontal="center"/>
    </xf>
    <xf numFmtId="49" fontId="68" fillId="10" borderId="0" xfId="3" applyNumberFormat="1" applyFont="1" applyFill="1" applyAlignment="1">
      <alignment horizontal="center"/>
    </xf>
    <xf numFmtId="0" fontId="52" fillId="10" borderId="0" xfId="3" applyFont="1" applyFill="1" applyAlignment="1">
      <alignment horizontal="center"/>
    </xf>
    <xf numFmtId="2" fontId="52" fillId="10" borderId="0" xfId="3" applyNumberFormat="1" applyFont="1" applyFill="1" applyAlignment="1">
      <alignment horizontal="center"/>
    </xf>
    <xf numFmtId="173" fontId="52" fillId="10" borderId="0" xfId="3" applyNumberFormat="1" applyFont="1" applyFill="1" applyAlignment="1">
      <alignment horizontal="center"/>
    </xf>
    <xf numFmtId="0" fontId="52" fillId="10" borderId="0" xfId="3" quotePrefix="1" applyFont="1" applyFill="1" applyAlignment="1">
      <alignment horizontal="center"/>
    </xf>
    <xf numFmtId="2" fontId="49" fillId="10" borderId="35" xfId="3" applyNumberFormat="1" applyFont="1" applyFill="1" applyBorder="1" applyAlignment="1">
      <alignment horizontal="center"/>
    </xf>
    <xf numFmtId="49" fontId="68" fillId="10" borderId="29" xfId="3" applyNumberFormat="1" applyFont="1" applyFill="1" applyBorder="1" applyAlignment="1">
      <alignment horizontal="center"/>
    </xf>
    <xf numFmtId="0" fontId="52" fillId="10" borderId="29" xfId="3" applyFont="1" applyFill="1" applyBorder="1" applyAlignment="1">
      <alignment horizontal="center"/>
    </xf>
    <xf numFmtId="2" fontId="52" fillId="10" borderId="29" xfId="3" applyNumberFormat="1" applyFont="1" applyFill="1" applyBorder="1" applyAlignment="1">
      <alignment horizontal="center"/>
    </xf>
    <xf numFmtId="1" fontId="52" fillId="0" borderId="29" xfId="3" applyNumberFormat="1" applyFont="1" applyBorder="1" applyAlignment="1">
      <alignment horizontal="center"/>
    </xf>
    <xf numFmtId="165" fontId="52" fillId="0" borderId="29" xfId="3" applyNumberFormat="1" applyFont="1" applyBorder="1"/>
    <xf numFmtId="170" fontId="52" fillId="0" borderId="29" xfId="3" applyNumberFormat="1" applyFont="1" applyBorder="1"/>
    <xf numFmtId="0" fontId="6" fillId="0" borderId="41" xfId="3" applyBorder="1" applyAlignment="1">
      <alignment horizontal="center"/>
    </xf>
  </cellXfs>
  <cellStyles count="7">
    <cellStyle name="Normal" xfId="0" builtinId="0"/>
    <cellStyle name="Normal 2" xfId="1" xr:uid="{DB758C4C-BE41-4A27-9E68-ACBA06546DCF}"/>
    <cellStyle name="Normal 2 2" xfId="3" xr:uid="{DDA33742-F186-4D5D-A264-A9080776A275}"/>
    <cellStyle name="Normal 2 2 2" xfId="6" xr:uid="{7606ECF5-C6EC-423F-924C-BE656D6DE09E}"/>
    <cellStyle name="Normal 3" xfId="2" xr:uid="{AE61D14A-C0D0-44A4-B6DA-B928EB0A952B}"/>
    <cellStyle name="Porcentagem 2" xfId="5" xr:uid="{40C38D74-61B9-4805-9F02-76F3F3B90A22}"/>
    <cellStyle name="Vírgula 2" xfId="4" xr:uid="{A132A318-1486-4C8D-999E-52A34B684AC6}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18" Type="http://schemas.openxmlformats.org/officeDocument/2006/relationships/externalLink" Target="externalLinks/externalLink1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externalLink" Target="externalLinks/externalLink1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1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0.xml"/><Relationship Id="rId23" Type="http://schemas.openxmlformats.org/officeDocument/2006/relationships/calcChain" Target="calcChain.xml"/><Relationship Id="rId10" Type="http://schemas.openxmlformats.org/officeDocument/2006/relationships/externalLink" Target="externalLinks/externalLink5.xml"/><Relationship Id="rId19" Type="http://schemas.openxmlformats.org/officeDocument/2006/relationships/externalLink" Target="externalLinks/externalLink1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6.png"/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0</xdr:row>
          <xdr:rowOff>76200</xdr:rowOff>
        </xdr:from>
        <xdr:to>
          <xdr:col>14</xdr:col>
          <xdr:colOff>9525</xdr:colOff>
          <xdr:row>0</xdr:row>
          <xdr:rowOff>390525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IMPRESSÃO (Ctrl +W)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0</xdr:row>
          <xdr:rowOff>85725</xdr:rowOff>
        </xdr:from>
        <xdr:to>
          <xdr:col>11</xdr:col>
          <xdr:colOff>57150</xdr:colOff>
          <xdr:row>0</xdr:row>
          <xdr:rowOff>400050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 (Ctrl+E)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217712</xdr:colOff>
      <xdr:row>6</xdr:row>
      <xdr:rowOff>13606</xdr:rowOff>
    </xdr:from>
    <xdr:to>
      <xdr:col>6</xdr:col>
      <xdr:colOff>37069</xdr:colOff>
      <xdr:row>7</xdr:row>
      <xdr:rowOff>101463</xdr:rowOff>
    </xdr:to>
    <xdr:sp macro="[5]!PLAN18.Pesquisar_PQP" textlink="">
      <xdr:nvSpPr>
        <xdr:cNvPr id="2" name="Retângulo de cantos arredondados 6">
          <a:extLst>
            <a:ext uri="{FF2B5EF4-FFF2-40B4-BE49-F238E27FC236}">
              <a16:creationId xmlns:a16="http://schemas.microsoft.com/office/drawing/2014/main" id="{C44637C1-EC22-4262-B8FD-B8065818B9FC}"/>
            </a:ext>
          </a:extLst>
        </xdr:cNvPr>
        <xdr:cNvSpPr/>
      </xdr:nvSpPr>
      <xdr:spPr bwMode="auto">
        <a:xfrm>
          <a:off x="3218087" y="1842406"/>
          <a:ext cx="1038557" cy="36408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>
              <a:solidFill>
                <a:schemeClr val="bg1"/>
              </a:solidFill>
            </a:rPr>
            <a:t>PESQUISAR PQP</a:t>
          </a:r>
        </a:p>
      </xdr:txBody>
    </xdr:sp>
    <xdr:clientData/>
  </xdr:twoCellAnchor>
  <xdr:twoCellAnchor editAs="oneCell">
    <xdr:from>
      <xdr:col>2</xdr:col>
      <xdr:colOff>693964</xdr:colOff>
      <xdr:row>26</xdr:row>
      <xdr:rowOff>68035</xdr:rowOff>
    </xdr:from>
    <xdr:to>
      <xdr:col>5</xdr:col>
      <xdr:colOff>345378</xdr:colOff>
      <xdr:row>36</xdr:row>
      <xdr:rowOff>81642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C776A1E-7807-4DC3-80CD-46C5FB6C85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4464" y="5487760"/>
          <a:ext cx="2461289" cy="1832882"/>
        </a:xfrm>
        <a:prstGeom prst="rect">
          <a:avLst/>
        </a:prstGeom>
      </xdr:spPr>
    </xdr:pic>
    <xdr:clientData/>
  </xdr:twoCellAnchor>
  <xdr:oneCellAnchor>
    <xdr:from>
      <xdr:col>2</xdr:col>
      <xdr:colOff>132281</xdr:colOff>
      <xdr:row>27</xdr:row>
      <xdr:rowOff>12298</xdr:rowOff>
    </xdr:from>
    <xdr:ext cx="342786" cy="1538755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CE406310-31BD-49C0-8328-2A3EEFC99C03}"/>
            </a:ext>
          </a:extLst>
        </xdr:cNvPr>
        <xdr:cNvSpPr txBox="1"/>
      </xdr:nvSpPr>
      <xdr:spPr>
        <a:xfrm rot="16200000">
          <a:off x="-275204" y="6201458"/>
          <a:ext cx="153875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600" b="1" kern="1200"/>
            <a:t>COMPRIMENTO</a:t>
          </a:r>
        </a:p>
      </xdr:txBody>
    </xdr:sp>
    <xdr:clientData/>
  </xdr:oneCellAnchor>
  <xdr:twoCellAnchor editAs="oneCell">
    <xdr:from>
      <xdr:col>2</xdr:col>
      <xdr:colOff>503464</xdr:colOff>
      <xdr:row>2</xdr:row>
      <xdr:rowOff>244929</xdr:rowOff>
    </xdr:from>
    <xdr:to>
      <xdr:col>4</xdr:col>
      <xdr:colOff>523771</xdr:colOff>
      <xdr:row>6</xdr:row>
      <xdr:rowOff>190500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3D778E7D-78BE-4E78-A048-3D26E5635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3964" y="759279"/>
          <a:ext cx="1734807" cy="12600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0</xdr:row>
          <xdr:rowOff>76200</xdr:rowOff>
        </xdr:from>
        <xdr:to>
          <xdr:col>14</xdr:col>
          <xdr:colOff>9525</xdr:colOff>
          <xdr:row>0</xdr:row>
          <xdr:rowOff>390525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IMPRESSÃO (Ctrl +W)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0</xdr:row>
          <xdr:rowOff>85725</xdr:rowOff>
        </xdr:from>
        <xdr:to>
          <xdr:col>11</xdr:col>
          <xdr:colOff>57150</xdr:colOff>
          <xdr:row>0</xdr:row>
          <xdr:rowOff>400050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 (Ctrl+E)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217712</xdr:colOff>
      <xdr:row>6</xdr:row>
      <xdr:rowOff>13606</xdr:rowOff>
    </xdr:from>
    <xdr:to>
      <xdr:col>6</xdr:col>
      <xdr:colOff>37069</xdr:colOff>
      <xdr:row>7</xdr:row>
      <xdr:rowOff>101463</xdr:rowOff>
    </xdr:to>
    <xdr:sp macro="[4]!PLAN18.Pesquisar_PQP" textlink="">
      <xdr:nvSpPr>
        <xdr:cNvPr id="2" name="Retângulo de cantos arredondados 6">
          <a:extLst>
            <a:ext uri="{FF2B5EF4-FFF2-40B4-BE49-F238E27FC236}">
              <a16:creationId xmlns:a16="http://schemas.microsoft.com/office/drawing/2014/main" id="{9AA57E69-2BFF-42C7-8034-9E26369D8BF2}"/>
            </a:ext>
          </a:extLst>
        </xdr:cNvPr>
        <xdr:cNvSpPr/>
      </xdr:nvSpPr>
      <xdr:spPr bwMode="auto">
        <a:xfrm>
          <a:off x="3218087" y="1842406"/>
          <a:ext cx="1038557" cy="36408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>
              <a:solidFill>
                <a:schemeClr val="bg1"/>
              </a:solidFill>
            </a:rPr>
            <a:t>PESQUISAR PQP</a:t>
          </a:r>
        </a:p>
      </xdr:txBody>
    </xdr:sp>
    <xdr:clientData/>
  </xdr:twoCellAnchor>
  <xdr:twoCellAnchor editAs="oneCell">
    <xdr:from>
      <xdr:col>2</xdr:col>
      <xdr:colOff>557892</xdr:colOff>
      <xdr:row>26</xdr:row>
      <xdr:rowOff>108857</xdr:rowOff>
    </xdr:from>
    <xdr:to>
      <xdr:col>5</xdr:col>
      <xdr:colOff>244927</xdr:colOff>
      <xdr:row>36</xdr:row>
      <xdr:rowOff>142894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282DC22-34BD-41D6-8E08-2CC63D40AB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8392" y="5528582"/>
          <a:ext cx="2496910" cy="1853312"/>
        </a:xfrm>
        <a:prstGeom prst="rect">
          <a:avLst/>
        </a:prstGeom>
      </xdr:spPr>
    </xdr:pic>
    <xdr:clientData/>
  </xdr:twoCellAnchor>
  <xdr:twoCellAnchor editAs="oneCell">
    <xdr:from>
      <xdr:col>2</xdr:col>
      <xdr:colOff>462643</xdr:colOff>
      <xdr:row>2</xdr:row>
      <xdr:rowOff>68036</xdr:rowOff>
    </xdr:from>
    <xdr:to>
      <xdr:col>4</xdr:col>
      <xdr:colOff>666750</xdr:colOff>
      <xdr:row>7</xdr:row>
      <xdr:rowOff>9906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C332CD3B-1701-47D7-B0F8-F8DFEF46FD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3143" y="582386"/>
          <a:ext cx="1918607" cy="153254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0</xdr:row>
          <xdr:rowOff>76200</xdr:rowOff>
        </xdr:from>
        <xdr:to>
          <xdr:col>14</xdr:col>
          <xdr:colOff>9525</xdr:colOff>
          <xdr:row>0</xdr:row>
          <xdr:rowOff>390525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C1661719-0E32-495D-AC11-E2B6ABFCA0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IMPRESSÃO (Ctrl +W)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0</xdr:row>
          <xdr:rowOff>85725</xdr:rowOff>
        </xdr:from>
        <xdr:to>
          <xdr:col>11</xdr:col>
          <xdr:colOff>57150</xdr:colOff>
          <xdr:row>0</xdr:row>
          <xdr:rowOff>400050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1B87A467-F8D3-4413-B0CF-41B96C486C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 (Ctrl+E)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217712</xdr:colOff>
      <xdr:row>6</xdr:row>
      <xdr:rowOff>13606</xdr:rowOff>
    </xdr:from>
    <xdr:to>
      <xdr:col>6</xdr:col>
      <xdr:colOff>37069</xdr:colOff>
      <xdr:row>7</xdr:row>
      <xdr:rowOff>101463</xdr:rowOff>
    </xdr:to>
    <xdr:sp macro="[6]!PLAN18.Pesquisar_PQP" textlink="">
      <xdr:nvSpPr>
        <xdr:cNvPr id="2" name="Retângulo de cantos arredondados 6">
          <a:extLst>
            <a:ext uri="{FF2B5EF4-FFF2-40B4-BE49-F238E27FC236}">
              <a16:creationId xmlns:a16="http://schemas.microsoft.com/office/drawing/2014/main" id="{E4A5DAD8-0FCE-47DE-AC82-221B827643B1}"/>
            </a:ext>
          </a:extLst>
        </xdr:cNvPr>
        <xdr:cNvSpPr/>
      </xdr:nvSpPr>
      <xdr:spPr bwMode="auto">
        <a:xfrm>
          <a:off x="3218087" y="1842406"/>
          <a:ext cx="1038557" cy="36408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>
              <a:solidFill>
                <a:schemeClr val="bg1"/>
              </a:solidFill>
            </a:rPr>
            <a:t>PESQUISAR PQP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0</xdr:row>
          <xdr:rowOff>76200</xdr:rowOff>
        </xdr:from>
        <xdr:to>
          <xdr:col>14</xdr:col>
          <xdr:colOff>9525</xdr:colOff>
          <xdr:row>0</xdr:row>
          <xdr:rowOff>390525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487DF6E8-1943-4A47-A69E-17BF85FA1D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IMPRESSÃO (Ctrl +W)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0</xdr:row>
          <xdr:rowOff>85725</xdr:rowOff>
        </xdr:from>
        <xdr:to>
          <xdr:col>11</xdr:col>
          <xdr:colOff>57150</xdr:colOff>
          <xdr:row>0</xdr:row>
          <xdr:rowOff>400050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759A5032-15F4-419D-9CF3-AF0F83A0C0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 (Ctrl+E)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217712</xdr:colOff>
      <xdr:row>6</xdr:row>
      <xdr:rowOff>13606</xdr:rowOff>
    </xdr:from>
    <xdr:to>
      <xdr:col>6</xdr:col>
      <xdr:colOff>37069</xdr:colOff>
      <xdr:row>7</xdr:row>
      <xdr:rowOff>101463</xdr:rowOff>
    </xdr:to>
    <xdr:sp macro="[7]!PLAN18.Pesquisar_PQP" textlink="">
      <xdr:nvSpPr>
        <xdr:cNvPr id="3" name="Retângulo de cantos arredondados 6">
          <a:extLst>
            <a:ext uri="{FF2B5EF4-FFF2-40B4-BE49-F238E27FC236}">
              <a16:creationId xmlns:a16="http://schemas.microsoft.com/office/drawing/2014/main" id="{14D09D04-7D34-41CE-8DB6-DF0CBB931512}"/>
            </a:ext>
          </a:extLst>
        </xdr:cNvPr>
        <xdr:cNvSpPr/>
      </xdr:nvSpPr>
      <xdr:spPr bwMode="auto">
        <a:xfrm>
          <a:off x="3218087" y="1842406"/>
          <a:ext cx="1038557" cy="36408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>
              <a:solidFill>
                <a:schemeClr val="bg1"/>
              </a:solidFill>
            </a:rPr>
            <a:t>PESQUISAR PQP</a:t>
          </a:r>
        </a:p>
      </xdr:txBody>
    </xdr:sp>
    <xdr:clientData/>
  </xdr:twoCellAnchor>
  <xdr:twoCellAnchor editAs="oneCell">
    <xdr:from>
      <xdr:col>2</xdr:col>
      <xdr:colOff>775608</xdr:colOff>
      <xdr:row>2</xdr:row>
      <xdr:rowOff>95250</xdr:rowOff>
    </xdr:from>
    <xdr:to>
      <xdr:col>4</xdr:col>
      <xdr:colOff>244930</xdr:colOff>
      <xdr:row>7</xdr:row>
      <xdr:rowOff>28557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1757B5C9-4760-4DB6-8A1C-2B7FEEA3BF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6108" y="609600"/>
          <a:ext cx="1183822" cy="1523982"/>
        </a:xfrm>
        <a:prstGeom prst="rect">
          <a:avLst/>
        </a:prstGeom>
      </xdr:spPr>
    </xdr:pic>
    <xdr:clientData/>
  </xdr:twoCellAnchor>
  <xdr:twoCellAnchor editAs="oneCell">
    <xdr:from>
      <xdr:col>2</xdr:col>
      <xdr:colOff>95250</xdr:colOff>
      <xdr:row>24</xdr:row>
      <xdr:rowOff>40822</xdr:rowOff>
    </xdr:from>
    <xdr:to>
      <xdr:col>7</xdr:col>
      <xdr:colOff>821294</xdr:colOff>
      <xdr:row>37</xdr:row>
      <xdr:rowOff>160902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902D2A2A-9498-47BE-A17C-BED5C4274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5750" y="5022397"/>
          <a:ext cx="5602844" cy="2358455"/>
        </a:xfrm>
        <a:prstGeom prst="rect">
          <a:avLst/>
        </a:prstGeom>
      </xdr:spPr>
    </xdr:pic>
    <xdr:clientData/>
  </xdr:twoCellAnchor>
  <xdr:twoCellAnchor editAs="oneCell">
    <xdr:from>
      <xdr:col>2</xdr:col>
      <xdr:colOff>544285</xdr:colOff>
      <xdr:row>27</xdr:row>
      <xdr:rowOff>54429</xdr:rowOff>
    </xdr:from>
    <xdr:to>
      <xdr:col>5</xdr:col>
      <xdr:colOff>134804</xdr:colOff>
      <xdr:row>35</xdr:row>
      <xdr:rowOff>154060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7DFD02E7-F497-4A8A-8AE7-4709C143C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34785" y="5540829"/>
          <a:ext cx="2400394" cy="14712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0</xdr:row>
          <xdr:rowOff>76200</xdr:rowOff>
        </xdr:from>
        <xdr:to>
          <xdr:col>14</xdr:col>
          <xdr:colOff>9525</xdr:colOff>
          <xdr:row>0</xdr:row>
          <xdr:rowOff>390525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4886E249-D4D1-4BB6-9633-65C1AA199C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IMPRESSÃO (Ctrl +W)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0</xdr:row>
          <xdr:rowOff>85725</xdr:rowOff>
        </xdr:from>
        <xdr:to>
          <xdr:col>11</xdr:col>
          <xdr:colOff>57150</xdr:colOff>
          <xdr:row>0</xdr:row>
          <xdr:rowOff>400050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E309FFD3-164A-4B25-A48B-5D00AFD465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 (Ctrl+E)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217712</xdr:colOff>
      <xdr:row>6</xdr:row>
      <xdr:rowOff>13606</xdr:rowOff>
    </xdr:from>
    <xdr:to>
      <xdr:col>6</xdr:col>
      <xdr:colOff>37069</xdr:colOff>
      <xdr:row>7</xdr:row>
      <xdr:rowOff>101463</xdr:rowOff>
    </xdr:to>
    <xdr:sp macro="[6]!PLAN18.Pesquisar_PQP" textlink="">
      <xdr:nvSpPr>
        <xdr:cNvPr id="2" name="Retângulo de cantos arredondados 6">
          <a:extLst>
            <a:ext uri="{FF2B5EF4-FFF2-40B4-BE49-F238E27FC236}">
              <a16:creationId xmlns:a16="http://schemas.microsoft.com/office/drawing/2014/main" id="{2342AD55-3B57-4516-95FB-6826B86756AB}"/>
            </a:ext>
          </a:extLst>
        </xdr:cNvPr>
        <xdr:cNvSpPr/>
      </xdr:nvSpPr>
      <xdr:spPr bwMode="auto">
        <a:xfrm>
          <a:off x="3218087" y="1842406"/>
          <a:ext cx="1038557" cy="36408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>
              <a:solidFill>
                <a:schemeClr val="bg1"/>
              </a:solidFill>
            </a:rPr>
            <a:t>PESQUISAR PQP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0</xdr:row>
          <xdr:rowOff>76200</xdr:rowOff>
        </xdr:from>
        <xdr:to>
          <xdr:col>14</xdr:col>
          <xdr:colOff>9525</xdr:colOff>
          <xdr:row>0</xdr:row>
          <xdr:rowOff>390525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285D45BB-A4BE-4B10-AB3C-8167D74726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IMPRESSÃO (Ctrl +W)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0</xdr:row>
          <xdr:rowOff>85725</xdr:rowOff>
        </xdr:from>
        <xdr:to>
          <xdr:col>11</xdr:col>
          <xdr:colOff>57150</xdr:colOff>
          <xdr:row>0</xdr:row>
          <xdr:rowOff>400050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67DDF587-CCE9-411E-BBE8-15460C3173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 (Ctrl+E)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217712</xdr:colOff>
      <xdr:row>6</xdr:row>
      <xdr:rowOff>13606</xdr:rowOff>
    </xdr:from>
    <xdr:to>
      <xdr:col>6</xdr:col>
      <xdr:colOff>37069</xdr:colOff>
      <xdr:row>7</xdr:row>
      <xdr:rowOff>101463</xdr:rowOff>
    </xdr:to>
    <xdr:sp macro="[7]!PLAN18.Pesquisar_PQP" textlink="">
      <xdr:nvSpPr>
        <xdr:cNvPr id="3" name="Retângulo de cantos arredondados 6">
          <a:extLst>
            <a:ext uri="{FF2B5EF4-FFF2-40B4-BE49-F238E27FC236}">
              <a16:creationId xmlns:a16="http://schemas.microsoft.com/office/drawing/2014/main" id="{D80002B4-36AA-4D00-AA00-59009EB9491B}"/>
            </a:ext>
          </a:extLst>
        </xdr:cNvPr>
        <xdr:cNvSpPr/>
      </xdr:nvSpPr>
      <xdr:spPr bwMode="auto">
        <a:xfrm>
          <a:off x="3218087" y="1842406"/>
          <a:ext cx="1038557" cy="36408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>
              <a:solidFill>
                <a:schemeClr val="bg1"/>
              </a:solidFill>
            </a:rPr>
            <a:t>PESQUISAR PQP</a:t>
          </a:r>
        </a:p>
      </xdr:txBody>
    </xdr:sp>
    <xdr:clientData/>
  </xdr:twoCellAnchor>
  <xdr:twoCellAnchor editAs="oneCell">
    <xdr:from>
      <xdr:col>2</xdr:col>
      <xdr:colOff>639536</xdr:colOff>
      <xdr:row>2</xdr:row>
      <xdr:rowOff>95250</xdr:rowOff>
    </xdr:from>
    <xdr:to>
      <xdr:col>4</xdr:col>
      <xdr:colOff>227741</xdr:colOff>
      <xdr:row>6</xdr:row>
      <xdr:rowOff>244929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A5E7F00-E03E-4BB4-8E09-F2D81C277F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036" y="609600"/>
          <a:ext cx="1302705" cy="1464129"/>
        </a:xfrm>
        <a:prstGeom prst="rect">
          <a:avLst/>
        </a:prstGeom>
      </xdr:spPr>
    </xdr:pic>
    <xdr:clientData/>
  </xdr:twoCellAnchor>
  <xdr:twoCellAnchor editAs="oneCell">
    <xdr:from>
      <xdr:col>2</xdr:col>
      <xdr:colOff>122465</xdr:colOff>
      <xdr:row>24</xdr:row>
      <xdr:rowOff>40822</xdr:rowOff>
    </xdr:from>
    <xdr:to>
      <xdr:col>7</xdr:col>
      <xdr:colOff>848509</xdr:colOff>
      <xdr:row>37</xdr:row>
      <xdr:rowOff>160902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04E74D7-44B7-4CF7-87B3-DC5A7DD423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2965" y="5022397"/>
          <a:ext cx="5602844" cy="2358455"/>
        </a:xfrm>
        <a:prstGeom prst="rect">
          <a:avLst/>
        </a:prstGeom>
      </xdr:spPr>
    </xdr:pic>
    <xdr:clientData/>
  </xdr:twoCellAnchor>
  <xdr:twoCellAnchor editAs="oneCell">
    <xdr:from>
      <xdr:col>2</xdr:col>
      <xdr:colOff>598714</xdr:colOff>
      <xdr:row>27</xdr:row>
      <xdr:rowOff>147825</xdr:rowOff>
    </xdr:from>
    <xdr:to>
      <xdr:col>5</xdr:col>
      <xdr:colOff>231320</xdr:colOff>
      <xdr:row>35</xdr:row>
      <xdr:rowOff>96488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9326CA6C-8AFD-44CA-BCE1-4E5E3527AE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9214" y="5634225"/>
          <a:ext cx="2442481" cy="13202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ENGENHARIA\ENGENHARIA_DE_PROCESSOS\01.%20PROCESSOS%20DE%20ENGENHARIA\02.%20APROVEITAMENTO%20DE%20MATERIAIS\2.%20FERRAMENTA%20PARA%20APROVEITAMENTO%20DE%20MATERIAIS\03.%20ARQUIVOS%20GERADOS\39510\39510%20-%20MELISSA%20X%20BEND%20AD%20(Escala).xlsb" TargetMode="External"/><Relationship Id="rId1" Type="http://schemas.openxmlformats.org/officeDocument/2006/relationships/externalLinkPath" Target="file:///Z:\ENGENHARIA\ENGENHARIA_DE_PROCESSOS\01.%20PROCESSOS%20DE%20ENGENHARIA\02.%20APROVEITAMENTO%20DE%20MATERIAIS\2.%20FERRAMENTA%20PARA%20APROVEITAMENTO%20DE%20MATERIAIS\03.%20ARQUIVOS%20GERADOS\39510\39510%20-%20MELISSA%20X%20BEND%20AD%20(Escala).xlsb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GL7816/Downloads/39510%20-%20MELISSA%20X%20BEND%20AD%20(Escala).xlsb" TargetMode="External"/><Relationship Id="rId2" Type="http://schemas.openxmlformats.org/officeDocument/2006/relationships/externalLinkPath" Target="file:///C:\Users\GL7816\Downloads\39510%20-%20MELISSA%20X%20BEND%20AD%20(Escala).xlsb" TargetMode="External"/><Relationship Id="rId1" Type="http://schemas.openxmlformats.org/officeDocument/2006/relationships/externalLinkPath" Target="/Users/GL7816/Downloads/39510%20-%20MELISSA%20X%20BEND%20AD%20(Escala).xlsb" TargetMode="External"/></Relationships>
</file>

<file path=xl/externalLinks/_rels/externalLink3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manoe/Documents/Projetos/node/auto-tonalidades/39510A%20-%20MELISSA%20X%20BEND%20AD%20(Escala).xlsb" TargetMode="External"/><Relationship Id="rId2" Type="http://schemas.openxmlformats.org/officeDocument/2006/relationships/externalLinkPath" Target="file:///C:\Users\manoe\Documents\Projetos\node\auto-tonalidades\39510A%20-%20MELISSA%20X%20BEND%20AD%20(Escala).xlsb" TargetMode="External"/><Relationship Id="rId1" Type="http://schemas.openxmlformats.org/officeDocument/2006/relationships/externalLinkPath" Target="/Users/manoe/Documents/Projetos/node/auto-tonalidades/39510A%20-%20MELISSA%20X%20BEND%20AD%20(Escala).xlsb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clfssrvfar\share\ENGENHARIA\ENGENHARIA_DE_PROCESSOS\01.%20PROCESSOS%20DE%20ENGENHARIA\02.%20APROVEITAMENTO%20DE%20MATERIAIS\8.%20SISTEMA%20DE%20CORTE%20-%20BALANCIM%20PONTE\SCA_-_Sistema_de_Corte_Automatico_.xlsm" TargetMode="External"/><Relationship Id="rId1" Type="http://schemas.openxmlformats.org/officeDocument/2006/relationships/externalLinkPath" Target="file:///\\Clfssrvfar\share\ENGENHARIA\ENGENHARIA_DE_PROCESSOS\01.%20PROCESSOS%20DE%20ENGENHARIA\02.%20APROVEITAMENTO%20DE%20MATERIAIS\8.%20SISTEMA%20DE%20CORTE%20-%20BALANCIM%20PONTE\SCA_-_Sistema_de_Corte_Automatico_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ENGENHARIA\ENGENHARIA_DE_PROCESSOS\01.%20PROCESSOS%20DE%20ENGENHARIA\02.%20APROVEITAMENTO%20DE%20MATERIAIS\8.%20SISTEMA%20DE%20CORTE%20-%20BALANCIM%20PONTE\SCA_-_Sistema_de_Corte_Automatico_.xlsm" TargetMode="External"/><Relationship Id="rId1" Type="http://schemas.openxmlformats.org/officeDocument/2006/relationships/externalLinkPath" Target="file:///Z:\ENGENHARIA\ENGENHARIA_DE_PROCESSOS\01.%20PROCESSOS%20DE%20ENGENHARIA\02.%20APROVEITAMENTO%20DE%20MATERIAIS\8.%20SISTEMA%20DE%20CORTE%20-%20BALANCIM%20PONTE\SCA_-_Sistema_de_Corte_Automatico_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ENGENHARIA_DE_PROCESSOS\01.%20PROCESSOS%20DE%20ENGENHARIA\02.%20APROVEITAMENTO%20DE%20MATERIAIS\8.%20SISTEMA%20DE%20CORTE%20-%20BALANCIM%20PONTE\SCA_-_Sistema_de_Corte_Automatico_.xlsm" TargetMode="External"/><Relationship Id="rId1" Type="http://schemas.openxmlformats.org/officeDocument/2006/relationships/externalLinkPath" Target="file:///Z:\ENGENHARIA_DE_PROCESSOS\01.%20PROCESSOS%20DE%20ENGENHARIA\02.%20APROVEITAMENTO%20DE%20MATERIAIS\8.%20SISTEMA%20DE%20CORTE%20-%20BALANCIM%20PONTE\SCA_-_Sistema_de_Corte_Automatico_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ENGENHARIA_DE_PROCESSOS\01.%20PROCESSOS%20DE%20ENGENHARIA\02.%20APROVEITAMENTO%20DE%20MATERIAIS\8.%20SISTEMA%20DE%20CORTE%20-%20BALANCIM%20PONTE\SCA_-_Sistema_de_Corte_Automatico_.xlsm" TargetMode="External"/><Relationship Id="rId1" Type="http://schemas.openxmlformats.org/officeDocument/2006/relationships/externalLinkPath" Target="file:///\\Clfssrvfar\share\ENGENHARIA_DE_PROCESSOS\01.%20PROCESSOS%20DE%20ENGENHARIA\02.%20APROVEITAMENTO%20DE%20MATERIAIS\8.%20SISTEMA%20DE%20CORTE%20-%20BALANCIM%20PONTE\SCA_-_Sistema_de_Corte_Automatico_.xlsm" TargetMode="External"/></Relationships>
</file>

<file path=xl/externalLinks/_rels/externalLink8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GL7816/Downloads/11321C%20Aproveitamento%20de%20materiais%20escala(3).xlsx" TargetMode="External"/><Relationship Id="rId2" Type="http://schemas.openxmlformats.org/officeDocument/2006/relationships/externalLinkPath" Target="file:///C:\Users\GL7816\Downloads\11321C%20Aproveitamento%20de%20materiais%20escala(3).xlsx" TargetMode="External"/><Relationship Id="rId1" Type="http://schemas.openxmlformats.org/officeDocument/2006/relationships/externalLinkPath" Target="/Users/GL7816/Downloads/11321C%20Aproveitamento%20de%20materiais%20escala(3)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Instrucao%20de%20Processo\20530\20530%20Sobral%20Fab%205.xls" TargetMode="External"/></Relationships>
</file>

<file path=xl/externalLinks/_rels/externalLink10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GL7816/Downloads/11751E%20-%20Aproveitamento%20de%20materiais%20escala.xlsx" TargetMode="External"/><Relationship Id="rId2" Type="http://schemas.openxmlformats.org/officeDocument/2006/relationships/externalLinkPath" Target="file:///C:\Users\GL7816\Downloads\11751E%20-%20Aproveitamento%20de%20materiais%20escala.xlsx" TargetMode="External"/><Relationship Id="rId1" Type="http://schemas.openxmlformats.org/officeDocument/2006/relationships/externalLinkPath" Target="/Users/GL7816/Downloads/11751E%20-%20Aproveitamento%20de%20materiais%20escala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Balanceamentos\Balanceamento%20di&#225;rio\Junho%202005\VNS-PCP\Planejamento%20-%20PCP\Plano%20Mensal\MARCELO\PLANEJAMENTO_F15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fssrvfar\share\Users\ro6070\Downloads\18793-%20Aproveitamento%20de%20materiais%20escala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Balanceamentos\Balanceamento%20di&#225;rio\Junho%202005\VNS-PCP\Planejamento%20-%20PCP\Plano%20Mensal\MARCELO\Plano_F15_CORTE_COSTURA_Abril_2003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fssrvfar\share\ENGENHARIA\ENGENHARIA_DE_PROCESSOS\01.%20PROCESSOS%20DE%20ENGENHARIA\02.%20APROVEITAMENTO%20DE%20MATERIAIS\1.%20SISTEMA%20DE%20CORTE\2.%20C&#193;LCULOS%20GERADOS\22350%20-%20ENFEITE%2001%20BATMA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sConfig"/>
      <sheetName val="Parâmetros EVA"/>
      <sheetName val="PC"/>
      <sheetName val="TECIDO PALMILHA"/>
      <sheetName val="FILME PALMILHA"/>
      <sheetName val="PALMILHA EVA"/>
      <sheetName val="COURAÇA"/>
      <sheetName val="LINGUETA"/>
      <sheetName val="FORRO LINGUETA"/>
      <sheetName val="ESPUMA GOLA PLACA"/>
      <sheetName val="ESPUMA GOLA METROS"/>
      <sheetName val="CABEDAL VACA"/>
      <sheetName val="CABEDAL"/>
      <sheetName val="PALMILHA MONTAGEM"/>
      <sheetName val="REFORÇO CABEDAL"/>
      <sheetName val="GOLA AVESSO"/>
      <sheetName val="ENFEITE LINGUETA"/>
      <sheetName val="Histórico de Alterações"/>
      <sheetName val="Mapa de Materiais"/>
      <sheetName val="Mapa de Processos"/>
      <sheetName val="ENFEITE TRASEIRO"/>
      <sheetName val="ENFEITE VISTA SUPERIOR"/>
      <sheetName val="BIQUEIRA VISTA INFERIOR"/>
      <sheetName val="ENFEITE X EXT"/>
      <sheetName val="ENFEITE X INT"/>
      <sheetName val="wsGab_Coverline"/>
      <sheetName val="wsGab_Dedeira"/>
      <sheetName val="wsGab_EVA"/>
      <sheetName val="wsGab_HotStampComAlternancia"/>
      <sheetName val="wsGab_HotStampSemAlternancia"/>
      <sheetName val="wsGab_HotStampComAlternancia2"/>
      <sheetName val="wsGab_VelcroIrregular"/>
      <sheetName val="wsGab_CorteAFio"/>
      <sheetName val="wsGab_CortePlaca"/>
      <sheetName val="wsGab_VelcroRegular"/>
      <sheetName val="39510 - MELISSA X BEND AD (Esca"/>
    </sheetNames>
    <sheetDataSet>
      <sheetData sheetId="0"/>
      <sheetData sheetId="1">
        <row r="2">
          <cell r="G2" t="str">
            <v>Parâmetros Que Variam Por Composto x Espessura</v>
          </cell>
          <cell r="H2"/>
          <cell r="I2"/>
          <cell r="J2"/>
          <cell r="K2"/>
          <cell r="L2"/>
          <cell r="M2"/>
          <cell r="N2"/>
          <cell r="O2"/>
          <cell r="P2"/>
        </row>
        <row r="3">
          <cell r="G3" t="str">
            <v>Localizador</v>
          </cell>
          <cell r="H3" t="str">
            <v>Composto</v>
          </cell>
          <cell r="I3" t="str">
            <v>Espessura</v>
          </cell>
          <cell r="J3" t="str">
            <v>Molde</v>
          </cell>
          <cell r="K3" t="str">
            <v>PL RAC</v>
          </cell>
          <cell r="L3" t="str">
            <v>KG PL</v>
          </cell>
          <cell r="M3" t="str">
            <v>Comprimento Placa</v>
          </cell>
          <cell r="N3" t="str">
            <v>Largura Placa</v>
          </cell>
          <cell r="O3" t="str">
            <v>Comprimento Sistema</v>
          </cell>
          <cell r="P3" t="str">
            <v>Largura Sistema</v>
          </cell>
        </row>
        <row r="4">
          <cell r="B4" t="str">
            <v>EVA RSU</v>
          </cell>
          <cell r="C4">
            <v>31</v>
          </cell>
          <cell r="E4">
            <v>1.8</v>
          </cell>
          <cell r="G4" t="str">
            <v>EVA RSU1,8</v>
          </cell>
          <cell r="H4" t="str">
            <v>EVA RSU</v>
          </cell>
          <cell r="I4">
            <v>1.8</v>
          </cell>
          <cell r="J4">
            <v>18</v>
          </cell>
          <cell r="K4">
            <v>16</v>
          </cell>
          <cell r="L4">
            <v>12.2</v>
          </cell>
          <cell r="M4">
            <v>1730</v>
          </cell>
          <cell r="N4">
            <v>1080</v>
          </cell>
          <cell r="O4">
            <v>1710</v>
          </cell>
          <cell r="P4">
            <v>1060</v>
          </cell>
        </row>
        <row r="5">
          <cell r="B5" t="str">
            <v>EVA TK</v>
          </cell>
          <cell r="C5">
            <v>21</v>
          </cell>
          <cell r="E5">
            <v>2</v>
          </cell>
          <cell r="G5" t="str">
            <v>EVA RSU2</v>
          </cell>
          <cell r="H5" t="str">
            <v>EVA RSU</v>
          </cell>
          <cell r="I5">
            <v>2</v>
          </cell>
          <cell r="J5">
            <v>18</v>
          </cell>
          <cell r="K5">
            <v>14</v>
          </cell>
          <cell r="L5">
            <v>12.2</v>
          </cell>
          <cell r="M5">
            <v>1750</v>
          </cell>
          <cell r="N5">
            <v>1110</v>
          </cell>
          <cell r="O5">
            <v>1730</v>
          </cell>
          <cell r="P5">
            <v>1090</v>
          </cell>
        </row>
        <row r="6">
          <cell r="B6" t="str">
            <v>EVA REU</v>
          </cell>
          <cell r="C6" t="str">
            <v>Não existe</v>
          </cell>
          <cell r="E6">
            <v>3</v>
          </cell>
          <cell r="G6" t="str">
            <v>EVA RSU3</v>
          </cell>
          <cell r="H6" t="str">
            <v>EVA RSU</v>
          </cell>
          <cell r="I6">
            <v>3</v>
          </cell>
          <cell r="J6">
            <v>18</v>
          </cell>
          <cell r="K6">
            <v>10</v>
          </cell>
          <cell r="L6">
            <v>12.2</v>
          </cell>
          <cell r="M6">
            <v>1750</v>
          </cell>
          <cell r="N6">
            <v>1110</v>
          </cell>
          <cell r="O6">
            <v>1730</v>
          </cell>
          <cell r="P6">
            <v>1090</v>
          </cell>
        </row>
        <row r="7">
          <cell r="B7" t="str">
            <v>EVA ME</v>
          </cell>
          <cell r="C7">
            <v>30</v>
          </cell>
          <cell r="E7">
            <v>3.5</v>
          </cell>
          <cell r="G7" t="str">
            <v>EVA RSU3,5</v>
          </cell>
          <cell r="H7" t="str">
            <v>EVA RSU</v>
          </cell>
          <cell r="I7">
            <v>3.5</v>
          </cell>
          <cell r="J7">
            <v>16</v>
          </cell>
          <cell r="K7">
            <v>7</v>
          </cell>
          <cell r="L7">
            <v>10.8</v>
          </cell>
          <cell r="M7">
            <v>1750</v>
          </cell>
          <cell r="N7">
            <v>1110</v>
          </cell>
          <cell r="O7">
            <v>1730</v>
          </cell>
          <cell r="P7">
            <v>1090</v>
          </cell>
        </row>
        <row r="8">
          <cell r="B8" t="str">
            <v>EVA GR</v>
          </cell>
          <cell r="C8" t="str">
            <v>Não existe</v>
          </cell>
          <cell r="E8">
            <v>4</v>
          </cell>
          <cell r="G8" t="str">
            <v>EVA RSU4</v>
          </cell>
          <cell r="H8" t="str">
            <v>EVA RSU</v>
          </cell>
          <cell r="I8">
            <v>4</v>
          </cell>
          <cell r="J8">
            <v>16</v>
          </cell>
          <cell r="K8">
            <v>6</v>
          </cell>
          <cell r="L8">
            <v>10.8</v>
          </cell>
          <cell r="M8">
            <v>1750</v>
          </cell>
          <cell r="N8">
            <v>1110</v>
          </cell>
          <cell r="O8">
            <v>1730</v>
          </cell>
          <cell r="P8">
            <v>1090</v>
          </cell>
        </row>
        <row r="9">
          <cell r="B9" t="str">
            <v>EVA PEB</v>
          </cell>
          <cell r="C9" t="str">
            <v>Não existe</v>
          </cell>
          <cell r="E9">
            <v>4.5</v>
          </cell>
          <cell r="G9" t="str">
            <v>EVA RSU4,5</v>
          </cell>
          <cell r="H9" t="str">
            <v>EVA RSU</v>
          </cell>
          <cell r="I9">
            <v>4.5</v>
          </cell>
          <cell r="J9">
            <v>16</v>
          </cell>
          <cell r="K9">
            <v>5</v>
          </cell>
          <cell r="L9">
            <v>10.8</v>
          </cell>
          <cell r="M9">
            <v>1750</v>
          </cell>
          <cell r="N9">
            <v>1110</v>
          </cell>
          <cell r="O9">
            <v>1730</v>
          </cell>
          <cell r="P9">
            <v>1090</v>
          </cell>
        </row>
        <row r="10">
          <cell r="E10">
            <v>5</v>
          </cell>
          <cell r="G10" t="str">
            <v>EVA RSU5</v>
          </cell>
          <cell r="H10" t="str">
            <v>EVA RSU</v>
          </cell>
          <cell r="I10">
            <v>5</v>
          </cell>
          <cell r="J10">
            <v>18</v>
          </cell>
          <cell r="K10">
            <v>6</v>
          </cell>
          <cell r="L10">
            <v>12.2</v>
          </cell>
          <cell r="M10">
            <v>1750</v>
          </cell>
          <cell r="N10">
            <v>1110</v>
          </cell>
          <cell r="O10">
            <v>1730</v>
          </cell>
          <cell r="P10">
            <v>1090</v>
          </cell>
        </row>
        <row r="11">
          <cell r="E11">
            <v>5.5</v>
          </cell>
          <cell r="G11" t="str">
            <v>EVA RSU5,5</v>
          </cell>
          <cell r="H11" t="str">
            <v>EVA RSU</v>
          </cell>
          <cell r="I11">
            <v>5.5</v>
          </cell>
          <cell r="J11">
            <v>16</v>
          </cell>
          <cell r="K11">
            <v>4</v>
          </cell>
          <cell r="L11">
            <v>10.8</v>
          </cell>
          <cell r="M11">
            <v>1750</v>
          </cell>
          <cell r="N11">
            <v>1110</v>
          </cell>
          <cell r="O11">
            <v>1730</v>
          </cell>
          <cell r="P11">
            <v>1090</v>
          </cell>
        </row>
        <row r="12">
          <cell r="E12">
            <v>6</v>
          </cell>
          <cell r="G12" t="str">
            <v>EVA RSU6</v>
          </cell>
          <cell r="H12" t="str">
            <v>EVA RSU</v>
          </cell>
          <cell r="I12">
            <v>6</v>
          </cell>
          <cell r="J12">
            <v>18</v>
          </cell>
          <cell r="K12">
            <v>5</v>
          </cell>
          <cell r="L12">
            <v>12.2</v>
          </cell>
          <cell r="M12">
            <v>1750</v>
          </cell>
          <cell r="N12">
            <v>1110</v>
          </cell>
          <cell r="O12">
            <v>1730</v>
          </cell>
          <cell r="P12">
            <v>1090</v>
          </cell>
        </row>
        <row r="13">
          <cell r="E13">
            <v>7</v>
          </cell>
          <cell r="G13" t="str">
            <v>EVA RSU7</v>
          </cell>
          <cell r="H13" t="str">
            <v>EVA RSU</v>
          </cell>
          <cell r="I13">
            <v>7</v>
          </cell>
          <cell r="J13">
            <v>18</v>
          </cell>
          <cell r="K13">
            <v>4</v>
          </cell>
          <cell r="L13">
            <v>12.2</v>
          </cell>
          <cell r="M13">
            <v>1750</v>
          </cell>
          <cell r="N13">
            <v>1110</v>
          </cell>
          <cell r="O13">
            <v>1730</v>
          </cell>
          <cell r="P13">
            <v>1090</v>
          </cell>
        </row>
        <row r="14">
          <cell r="E14">
            <v>7.8</v>
          </cell>
          <cell r="G14" t="str">
            <v>EVA RSU7,8</v>
          </cell>
          <cell r="H14" t="str">
            <v>EVA RSU</v>
          </cell>
          <cell r="I14">
            <v>7.8</v>
          </cell>
          <cell r="J14">
            <v>16</v>
          </cell>
          <cell r="K14">
            <v>3</v>
          </cell>
          <cell r="L14">
            <v>10.8</v>
          </cell>
          <cell r="M14">
            <v>1750</v>
          </cell>
          <cell r="N14">
            <v>1110</v>
          </cell>
          <cell r="O14">
            <v>1730</v>
          </cell>
          <cell r="P14">
            <v>1090</v>
          </cell>
        </row>
        <row r="15">
          <cell r="E15">
            <v>8</v>
          </cell>
          <cell r="G15" t="str">
            <v>EVA RSU8</v>
          </cell>
          <cell r="H15" t="str">
            <v>EVA RSU</v>
          </cell>
          <cell r="I15">
            <v>8</v>
          </cell>
          <cell r="J15">
            <v>16</v>
          </cell>
          <cell r="K15">
            <v>3</v>
          </cell>
          <cell r="L15">
            <v>10.8</v>
          </cell>
          <cell r="M15">
            <v>1750</v>
          </cell>
          <cell r="N15">
            <v>1110</v>
          </cell>
          <cell r="O15">
            <v>1730</v>
          </cell>
          <cell r="P15">
            <v>1090</v>
          </cell>
        </row>
        <row r="16">
          <cell r="E16">
            <v>10</v>
          </cell>
          <cell r="G16" t="str">
            <v>EVA RSU10</v>
          </cell>
          <cell r="H16" t="str">
            <v>EVA RSU</v>
          </cell>
          <cell r="I16">
            <v>10</v>
          </cell>
          <cell r="J16">
            <v>18</v>
          </cell>
          <cell r="K16">
            <v>3</v>
          </cell>
          <cell r="L16">
            <v>12.2</v>
          </cell>
          <cell r="M16">
            <v>1750</v>
          </cell>
          <cell r="N16">
            <v>1110</v>
          </cell>
          <cell r="O16">
            <v>1730</v>
          </cell>
          <cell r="P16">
            <v>1090</v>
          </cell>
        </row>
        <row r="17">
          <cell r="E17">
            <v>10.5</v>
          </cell>
          <cell r="G17" t="str">
            <v>EVA RSU10,5</v>
          </cell>
          <cell r="H17" t="str">
            <v>EVA RSU</v>
          </cell>
          <cell r="I17">
            <v>10.5</v>
          </cell>
          <cell r="J17">
            <v>16</v>
          </cell>
          <cell r="K17">
            <v>2</v>
          </cell>
          <cell r="L17">
            <v>10.8</v>
          </cell>
          <cell r="M17">
            <v>1750</v>
          </cell>
          <cell r="N17">
            <v>1110</v>
          </cell>
          <cell r="O17">
            <v>1730</v>
          </cell>
          <cell r="P17">
            <v>1090</v>
          </cell>
        </row>
        <row r="18">
          <cell r="E18">
            <v>11</v>
          </cell>
          <cell r="G18" t="str">
            <v>EVA RSU11</v>
          </cell>
          <cell r="H18" t="str">
            <v>EVA RSU</v>
          </cell>
          <cell r="I18">
            <v>11</v>
          </cell>
          <cell r="J18">
            <v>16</v>
          </cell>
          <cell r="K18">
            <v>2</v>
          </cell>
          <cell r="L18">
            <v>10.8</v>
          </cell>
          <cell r="M18">
            <v>1750</v>
          </cell>
          <cell r="N18">
            <v>1110</v>
          </cell>
          <cell r="O18">
            <v>1730</v>
          </cell>
          <cell r="P18">
            <v>1090</v>
          </cell>
        </row>
        <row r="19">
          <cell r="E19">
            <v>12</v>
          </cell>
          <cell r="G19" t="str">
            <v>EVA RSU12</v>
          </cell>
          <cell r="H19" t="str">
            <v>EVA RSU</v>
          </cell>
          <cell r="I19">
            <v>12</v>
          </cell>
          <cell r="J19">
            <v>16</v>
          </cell>
          <cell r="K19">
            <v>2</v>
          </cell>
          <cell r="L19">
            <v>10.8</v>
          </cell>
          <cell r="M19">
            <v>1750</v>
          </cell>
          <cell r="N19">
            <v>1110</v>
          </cell>
          <cell r="O19">
            <v>1730</v>
          </cell>
          <cell r="P19">
            <v>1090</v>
          </cell>
        </row>
        <row r="20">
          <cell r="E20">
            <v>13</v>
          </cell>
          <cell r="G20" t="str">
            <v>EVA RSU13</v>
          </cell>
          <cell r="H20" t="str">
            <v>EVA RSU</v>
          </cell>
          <cell r="I20">
            <v>13</v>
          </cell>
          <cell r="J20">
            <v>16</v>
          </cell>
          <cell r="K20">
            <v>2</v>
          </cell>
          <cell r="L20">
            <v>10.8</v>
          </cell>
          <cell r="M20">
            <v>1750</v>
          </cell>
          <cell r="N20">
            <v>1110</v>
          </cell>
          <cell r="O20">
            <v>1730</v>
          </cell>
          <cell r="P20">
            <v>1090</v>
          </cell>
        </row>
        <row r="21">
          <cell r="E21">
            <v>15</v>
          </cell>
          <cell r="G21" t="str">
            <v>EVA RSU15</v>
          </cell>
          <cell r="H21" t="str">
            <v>EVA RSU</v>
          </cell>
          <cell r="I21">
            <v>15</v>
          </cell>
          <cell r="J21">
            <v>18</v>
          </cell>
          <cell r="K21">
            <v>2</v>
          </cell>
          <cell r="L21">
            <v>12.2</v>
          </cell>
          <cell r="M21">
            <v>1750</v>
          </cell>
          <cell r="N21">
            <v>1110</v>
          </cell>
          <cell r="O21">
            <v>1730</v>
          </cell>
          <cell r="P21">
            <v>1090</v>
          </cell>
        </row>
        <row r="22">
          <cell r="E22">
            <v>24</v>
          </cell>
          <cell r="G22" t="str">
            <v>EVA RSU24</v>
          </cell>
          <cell r="H22" t="str">
            <v>EVA RSU</v>
          </cell>
          <cell r="I22">
            <v>24</v>
          </cell>
          <cell r="J22">
            <v>16</v>
          </cell>
          <cell r="K22">
            <v>1</v>
          </cell>
          <cell r="L22">
            <v>10.8</v>
          </cell>
          <cell r="M22">
            <v>1750</v>
          </cell>
          <cell r="N22">
            <v>1110</v>
          </cell>
          <cell r="O22">
            <v>1730</v>
          </cell>
          <cell r="P22">
            <v>1090</v>
          </cell>
        </row>
        <row r="23">
          <cell r="E23">
            <v>9</v>
          </cell>
          <cell r="G23" t="str">
            <v>EVA TK1,8</v>
          </cell>
          <cell r="H23" t="str">
            <v>EVA TK</v>
          </cell>
          <cell r="I23">
            <v>1.8</v>
          </cell>
          <cell r="J23">
            <v>16</v>
          </cell>
          <cell r="K23">
            <v>12</v>
          </cell>
          <cell r="L23">
            <v>11</v>
          </cell>
          <cell r="M23">
            <v>1650</v>
          </cell>
          <cell r="N23">
            <v>1030</v>
          </cell>
          <cell r="O23">
            <v>1690</v>
          </cell>
          <cell r="P23">
            <v>1010</v>
          </cell>
        </row>
        <row r="24">
          <cell r="E24">
            <v>20</v>
          </cell>
          <cell r="G24" t="str">
            <v>EVA TK3</v>
          </cell>
          <cell r="H24" t="str">
            <v>EVA TK</v>
          </cell>
          <cell r="I24">
            <v>3</v>
          </cell>
          <cell r="J24">
            <v>18</v>
          </cell>
          <cell r="K24">
            <v>9</v>
          </cell>
          <cell r="L24">
            <v>13.5</v>
          </cell>
          <cell r="M24">
            <v>1650</v>
          </cell>
          <cell r="N24">
            <v>1030</v>
          </cell>
          <cell r="O24">
            <v>1690</v>
          </cell>
          <cell r="P24">
            <v>1010</v>
          </cell>
        </row>
        <row r="25">
          <cell r="E25">
            <v>30</v>
          </cell>
          <cell r="G25" t="str">
            <v>EVA TK3,5</v>
          </cell>
          <cell r="H25" t="str">
            <v>EVA TK</v>
          </cell>
          <cell r="I25">
            <v>3.5</v>
          </cell>
          <cell r="J25">
            <v>16</v>
          </cell>
          <cell r="K25">
            <v>6</v>
          </cell>
          <cell r="L25">
            <v>11</v>
          </cell>
          <cell r="M25">
            <v>1650</v>
          </cell>
          <cell r="N25">
            <v>1030</v>
          </cell>
          <cell r="O25">
            <v>1690</v>
          </cell>
          <cell r="P25">
            <v>1010</v>
          </cell>
        </row>
        <row r="26">
          <cell r="G26" t="str">
            <v>EVA TK4,5</v>
          </cell>
          <cell r="H26" t="str">
            <v>EVA TK</v>
          </cell>
          <cell r="I26">
            <v>4.5</v>
          </cell>
          <cell r="J26">
            <v>18</v>
          </cell>
          <cell r="K26">
            <v>6</v>
          </cell>
          <cell r="L26">
            <v>13.5</v>
          </cell>
          <cell r="M26">
            <v>1650</v>
          </cell>
          <cell r="N26">
            <v>1030</v>
          </cell>
          <cell r="O26">
            <v>1690</v>
          </cell>
          <cell r="P26">
            <v>1010</v>
          </cell>
        </row>
        <row r="27">
          <cell r="G27" t="str">
            <v>EVA TK5</v>
          </cell>
          <cell r="H27" t="str">
            <v>EVA TK</v>
          </cell>
          <cell r="I27">
            <v>5</v>
          </cell>
          <cell r="J27">
            <v>16</v>
          </cell>
          <cell r="K27">
            <v>4</v>
          </cell>
          <cell r="L27">
            <v>11</v>
          </cell>
          <cell r="M27">
            <v>1650</v>
          </cell>
          <cell r="N27">
            <v>1030</v>
          </cell>
          <cell r="O27">
            <v>1690</v>
          </cell>
          <cell r="P27">
            <v>1010</v>
          </cell>
        </row>
        <row r="28">
          <cell r="G28" t="str">
            <v>EVA TK5,5</v>
          </cell>
          <cell r="H28" t="str">
            <v>EVA TK</v>
          </cell>
          <cell r="I28">
            <v>5.5</v>
          </cell>
          <cell r="J28">
            <v>16</v>
          </cell>
          <cell r="K28">
            <v>4</v>
          </cell>
          <cell r="L28">
            <v>11</v>
          </cell>
          <cell r="M28">
            <v>1650</v>
          </cell>
          <cell r="N28">
            <v>1030</v>
          </cell>
          <cell r="O28">
            <v>1690</v>
          </cell>
          <cell r="P28">
            <v>1010</v>
          </cell>
        </row>
        <row r="29">
          <cell r="G29" t="str">
            <v>EVA TK6</v>
          </cell>
          <cell r="H29" t="str">
            <v>EVA TK</v>
          </cell>
          <cell r="I29">
            <v>6</v>
          </cell>
          <cell r="J29">
            <v>18</v>
          </cell>
          <cell r="K29">
            <v>4</v>
          </cell>
          <cell r="L29">
            <v>13.5</v>
          </cell>
          <cell r="M29">
            <v>1650</v>
          </cell>
          <cell r="N29">
            <v>1030</v>
          </cell>
          <cell r="O29">
            <v>1690</v>
          </cell>
          <cell r="P29">
            <v>1010</v>
          </cell>
        </row>
        <row r="30">
          <cell r="G30" t="str">
            <v>EVA TK7</v>
          </cell>
          <cell r="H30" t="str">
            <v>EVA TK</v>
          </cell>
          <cell r="I30">
            <v>7</v>
          </cell>
          <cell r="J30">
            <v>16</v>
          </cell>
          <cell r="K30">
            <v>3</v>
          </cell>
          <cell r="L30">
            <v>11</v>
          </cell>
          <cell r="M30">
            <v>1650</v>
          </cell>
          <cell r="N30">
            <v>1030</v>
          </cell>
          <cell r="O30">
            <v>1690</v>
          </cell>
          <cell r="P30">
            <v>1010</v>
          </cell>
        </row>
        <row r="31">
          <cell r="G31" t="str">
            <v>EVA TK8</v>
          </cell>
          <cell r="H31" t="str">
            <v>EVA TK</v>
          </cell>
          <cell r="I31">
            <v>8</v>
          </cell>
          <cell r="J31">
            <v>18</v>
          </cell>
          <cell r="K31">
            <v>3</v>
          </cell>
          <cell r="L31">
            <v>13.5</v>
          </cell>
          <cell r="M31">
            <v>1650</v>
          </cell>
          <cell r="N31">
            <v>1030</v>
          </cell>
          <cell r="O31">
            <v>1690</v>
          </cell>
          <cell r="P31">
            <v>1010</v>
          </cell>
        </row>
        <row r="32">
          <cell r="G32" t="str">
            <v>EVA TK9</v>
          </cell>
          <cell r="H32" t="str">
            <v>EVA TK</v>
          </cell>
          <cell r="I32">
            <v>9</v>
          </cell>
          <cell r="J32">
            <v>18</v>
          </cell>
          <cell r="K32">
            <v>3</v>
          </cell>
          <cell r="L32">
            <v>13.5</v>
          </cell>
          <cell r="M32">
            <v>1650</v>
          </cell>
          <cell r="N32">
            <v>1030</v>
          </cell>
          <cell r="O32">
            <v>1690</v>
          </cell>
          <cell r="P32">
            <v>1010</v>
          </cell>
        </row>
        <row r="33">
          <cell r="G33" t="str">
            <v>EVA TK10</v>
          </cell>
          <cell r="H33" t="str">
            <v>EVA TK</v>
          </cell>
          <cell r="I33">
            <v>10</v>
          </cell>
          <cell r="J33">
            <v>16</v>
          </cell>
          <cell r="K33">
            <v>2</v>
          </cell>
          <cell r="L33">
            <v>11</v>
          </cell>
          <cell r="M33">
            <v>1650</v>
          </cell>
          <cell r="N33">
            <v>1030</v>
          </cell>
          <cell r="O33">
            <v>1690</v>
          </cell>
          <cell r="P33">
            <v>1010</v>
          </cell>
        </row>
        <row r="34">
          <cell r="G34" t="str">
            <v>EVA REU4</v>
          </cell>
          <cell r="H34" t="str">
            <v>EVA REU</v>
          </cell>
          <cell r="I34">
            <v>4</v>
          </cell>
          <cell r="J34">
            <v>16</v>
          </cell>
          <cell r="K34">
            <v>6</v>
          </cell>
          <cell r="L34">
            <v>10</v>
          </cell>
          <cell r="M34">
            <v>1680</v>
          </cell>
          <cell r="N34">
            <v>980</v>
          </cell>
          <cell r="O34">
            <v>1660</v>
          </cell>
          <cell r="P34">
            <v>960</v>
          </cell>
        </row>
        <row r="35">
          <cell r="G35" t="str">
            <v>EVA REU5</v>
          </cell>
          <cell r="H35" t="str">
            <v>EVA REU</v>
          </cell>
          <cell r="I35">
            <v>5</v>
          </cell>
          <cell r="J35">
            <v>16</v>
          </cell>
          <cell r="K35">
            <v>5</v>
          </cell>
          <cell r="L35">
            <v>10</v>
          </cell>
          <cell r="M35">
            <v>1680</v>
          </cell>
          <cell r="N35">
            <v>980</v>
          </cell>
          <cell r="O35">
            <v>1660</v>
          </cell>
          <cell r="P35">
            <v>960</v>
          </cell>
        </row>
        <row r="36">
          <cell r="G36" t="str">
            <v>EVA REU6</v>
          </cell>
          <cell r="H36" t="str">
            <v>EVA REU</v>
          </cell>
          <cell r="I36">
            <v>6</v>
          </cell>
          <cell r="J36">
            <v>16</v>
          </cell>
          <cell r="K36">
            <v>4</v>
          </cell>
          <cell r="L36">
            <v>10</v>
          </cell>
          <cell r="M36">
            <v>1680</v>
          </cell>
          <cell r="N36">
            <v>980</v>
          </cell>
          <cell r="O36">
            <v>1660</v>
          </cell>
          <cell r="P36">
            <v>960</v>
          </cell>
        </row>
        <row r="37">
          <cell r="G37" t="str">
            <v>EVA REU12</v>
          </cell>
          <cell r="H37" t="str">
            <v>EVA REU</v>
          </cell>
          <cell r="I37">
            <v>12</v>
          </cell>
          <cell r="J37">
            <v>12</v>
          </cell>
          <cell r="K37">
            <v>2</v>
          </cell>
          <cell r="L37">
            <v>6.8</v>
          </cell>
          <cell r="M37">
            <v>1460</v>
          </cell>
          <cell r="N37">
            <v>950</v>
          </cell>
          <cell r="O37">
            <v>1440</v>
          </cell>
          <cell r="P37">
            <v>930</v>
          </cell>
        </row>
        <row r="38">
          <cell r="G38" t="str">
            <v>EVA GR2</v>
          </cell>
          <cell r="H38" t="str">
            <v>EVA GR</v>
          </cell>
          <cell r="I38">
            <v>2</v>
          </cell>
          <cell r="J38">
            <v>10.199999999999999</v>
          </cell>
          <cell r="K38">
            <v>9</v>
          </cell>
          <cell r="L38">
            <v>5</v>
          </cell>
          <cell r="M38">
            <v>1600</v>
          </cell>
          <cell r="N38">
            <v>1300</v>
          </cell>
          <cell r="O38">
            <v>1600</v>
          </cell>
          <cell r="P38">
            <v>1300</v>
          </cell>
        </row>
        <row r="39">
          <cell r="G39" t="str">
            <v>EVA ME1,8</v>
          </cell>
          <cell r="H39" t="str">
            <v>EVA ME</v>
          </cell>
          <cell r="I39">
            <v>1.8</v>
          </cell>
          <cell r="J39">
            <v>18</v>
          </cell>
          <cell r="K39">
            <v>16</v>
          </cell>
          <cell r="L39">
            <v>12.2</v>
          </cell>
          <cell r="M39">
            <v>168</v>
          </cell>
          <cell r="N39">
            <v>1050</v>
          </cell>
          <cell r="O39">
            <v>1660</v>
          </cell>
          <cell r="P39">
            <v>1030</v>
          </cell>
        </row>
        <row r="40">
          <cell r="G40" t="str">
            <v>EVA ME6</v>
          </cell>
          <cell r="H40" t="str">
            <v>EVA ME</v>
          </cell>
          <cell r="I40">
            <v>6</v>
          </cell>
          <cell r="J40">
            <v>18</v>
          </cell>
          <cell r="K40">
            <v>5</v>
          </cell>
          <cell r="L40">
            <v>12.2</v>
          </cell>
          <cell r="M40">
            <v>168</v>
          </cell>
          <cell r="N40">
            <v>1050</v>
          </cell>
          <cell r="O40">
            <v>1660</v>
          </cell>
          <cell r="P40">
            <v>1030</v>
          </cell>
        </row>
        <row r="41">
          <cell r="G41" t="str">
            <v>EVA ME8</v>
          </cell>
          <cell r="H41" t="str">
            <v>EVA ME</v>
          </cell>
          <cell r="I41">
            <v>8</v>
          </cell>
          <cell r="J41">
            <v>16</v>
          </cell>
          <cell r="K41">
            <v>3</v>
          </cell>
          <cell r="L41">
            <v>10.8</v>
          </cell>
          <cell r="M41">
            <v>168</v>
          </cell>
          <cell r="N41">
            <v>1050</v>
          </cell>
          <cell r="O41">
            <v>1660</v>
          </cell>
          <cell r="P41">
            <v>1030</v>
          </cell>
        </row>
        <row r="42">
          <cell r="G42" t="str">
            <v>EVA ME10,5</v>
          </cell>
          <cell r="H42" t="str">
            <v>EVA ME</v>
          </cell>
          <cell r="I42">
            <v>10.5</v>
          </cell>
          <cell r="J42">
            <v>16</v>
          </cell>
          <cell r="K42">
            <v>2</v>
          </cell>
          <cell r="L42">
            <v>10.8</v>
          </cell>
          <cell r="M42">
            <v>168</v>
          </cell>
          <cell r="N42">
            <v>1050</v>
          </cell>
          <cell r="O42">
            <v>1660</v>
          </cell>
          <cell r="P42">
            <v>1030</v>
          </cell>
        </row>
        <row r="43">
          <cell r="G43" t="str">
            <v>EVA ME20</v>
          </cell>
          <cell r="H43" t="str">
            <v>EVA ME</v>
          </cell>
          <cell r="I43">
            <v>20</v>
          </cell>
          <cell r="J43">
            <v>16</v>
          </cell>
          <cell r="K43">
            <v>1</v>
          </cell>
          <cell r="L43">
            <v>10.8</v>
          </cell>
          <cell r="M43">
            <v>168</v>
          </cell>
          <cell r="N43">
            <v>1050</v>
          </cell>
          <cell r="O43">
            <v>1660</v>
          </cell>
          <cell r="P43">
            <v>1030</v>
          </cell>
        </row>
        <row r="44">
          <cell r="G44" t="str">
            <v>EVA ME24</v>
          </cell>
          <cell r="H44" t="str">
            <v>EVA ME</v>
          </cell>
          <cell r="I44">
            <v>24</v>
          </cell>
          <cell r="J44">
            <v>16</v>
          </cell>
          <cell r="K44">
            <v>1</v>
          </cell>
          <cell r="L44">
            <v>10.8</v>
          </cell>
          <cell r="M44">
            <v>168</v>
          </cell>
          <cell r="N44">
            <v>1050</v>
          </cell>
          <cell r="O44">
            <v>1660</v>
          </cell>
          <cell r="P44">
            <v>1030</v>
          </cell>
        </row>
        <row r="45">
          <cell r="G45" t="str">
            <v>EVA ME30</v>
          </cell>
          <cell r="H45" t="str">
            <v>EVA ME</v>
          </cell>
          <cell r="I45">
            <v>30</v>
          </cell>
          <cell r="J45">
            <v>18</v>
          </cell>
          <cell r="K45">
            <v>1</v>
          </cell>
          <cell r="L45">
            <v>12.2</v>
          </cell>
          <cell r="M45">
            <v>168</v>
          </cell>
          <cell r="N45">
            <v>1050</v>
          </cell>
          <cell r="O45">
            <v>1660</v>
          </cell>
          <cell r="P45">
            <v>1030</v>
          </cell>
        </row>
        <row r="46">
          <cell r="G46" t="str">
            <v>EVA PEB11</v>
          </cell>
          <cell r="H46" t="str">
            <v>EVA PEB</v>
          </cell>
          <cell r="I46">
            <v>11</v>
          </cell>
          <cell r="J46">
            <v>16</v>
          </cell>
          <cell r="K46">
            <v>2</v>
          </cell>
          <cell r="L46">
            <v>10.8</v>
          </cell>
          <cell r="M46">
            <v>1740</v>
          </cell>
          <cell r="N46">
            <v>1060</v>
          </cell>
          <cell r="O46">
            <v>1720</v>
          </cell>
          <cell r="P46">
            <v>1040</v>
          </cell>
        </row>
      </sheetData>
      <sheetData sheetId="2">
        <row r="4">
          <cell r="B4" t="str">
            <v>39510</v>
          </cell>
          <cell r="AP4" t="str">
            <v>MELISSA X BEND AD</v>
          </cell>
          <cell r="HR4">
            <v>46023</v>
          </cell>
          <cell r="NV4" t="str">
            <v>Escala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wsConfig"/>
      <sheetName val="Parâmetros EVA"/>
      <sheetName val="PC"/>
      <sheetName val="TECIDO PALMILHA"/>
      <sheetName val="FILME PALMILHA"/>
      <sheetName val="PALMILHA EVA"/>
      <sheetName val="COURAÇA"/>
      <sheetName val="LINGUETA"/>
      <sheetName val="FORRO LINGUETA"/>
      <sheetName val="ESPUMA GOLA"/>
      <sheetName val="CABEDAL VACA"/>
      <sheetName val="CABEDAL"/>
      <sheetName val="PALMILHA MONTAGEM"/>
      <sheetName val="REFORÇO CABEDAL"/>
      <sheetName val="GOLA AVESSO"/>
      <sheetName val="ENFEITE LINGUETA"/>
      <sheetName val="Histórico de Alterações"/>
      <sheetName val="Mapa de Materiais"/>
      <sheetName val="Mapa de Processos"/>
      <sheetName val="ENFEITE TRASEIRO"/>
      <sheetName val="ENFEITE VISTA SUPERIOR"/>
      <sheetName val="BIQUEIRA VISTA INFERIOR"/>
      <sheetName val="ENFEITE X EXT"/>
      <sheetName val="ENFEITE X INT"/>
      <sheetName val="wsGab_Coverline"/>
      <sheetName val="wsGab_Dedeira"/>
      <sheetName val="wsGab_EVA"/>
      <sheetName val="wsGab_HotStampComAlternancia"/>
      <sheetName val="wsGab_HotStampSemAlternancia"/>
      <sheetName val="wsGab_HotStampComAlternancia2"/>
      <sheetName val="wsGab_VelcroIrregular"/>
      <sheetName val="wsGab_CorteAFio"/>
      <sheetName val="wsGab_CortePlaca"/>
      <sheetName val="wsGab_VelcroRegular"/>
      <sheetName val="39510 - MELISSA X BEND AD (Esca"/>
    </sheetNames>
    <sheetDataSet>
      <sheetData sheetId="0"/>
      <sheetData sheetId="1">
        <row r="2">
          <cell r="G2" t="str">
            <v>Parâmetros Que Variam Por Composto x Espessura</v>
          </cell>
          <cell r="H2"/>
          <cell r="I2"/>
          <cell r="J2"/>
          <cell r="K2"/>
          <cell r="L2"/>
          <cell r="M2"/>
          <cell r="N2"/>
          <cell r="O2"/>
          <cell r="P2"/>
        </row>
        <row r="3">
          <cell r="G3" t="str">
            <v>Localizador</v>
          </cell>
          <cell r="H3" t="str">
            <v>Composto</v>
          </cell>
          <cell r="I3" t="str">
            <v>Espessura</v>
          </cell>
          <cell r="J3" t="str">
            <v>Molde</v>
          </cell>
          <cell r="K3" t="str">
            <v>PL RAC</v>
          </cell>
          <cell r="L3" t="str">
            <v>KG PL</v>
          </cell>
          <cell r="M3" t="str">
            <v>Comprimento Placa</v>
          </cell>
          <cell r="N3" t="str">
            <v>Largura Placa</v>
          </cell>
          <cell r="O3" t="str">
            <v>Comprimento Sistema</v>
          </cell>
          <cell r="P3" t="str">
            <v>Largura Sistema</v>
          </cell>
        </row>
        <row r="4">
          <cell r="B4" t="str">
            <v>EVA RSU</v>
          </cell>
          <cell r="C4">
            <v>31</v>
          </cell>
          <cell r="E4">
            <v>1.8</v>
          </cell>
          <cell r="G4" t="str">
            <v>EVA RSU1,8</v>
          </cell>
          <cell r="H4" t="str">
            <v>EVA RSU</v>
          </cell>
          <cell r="I4">
            <v>1.8</v>
          </cell>
          <cell r="J4">
            <v>18</v>
          </cell>
          <cell r="K4">
            <v>16</v>
          </cell>
          <cell r="L4">
            <v>12.2</v>
          </cell>
          <cell r="M4">
            <v>1730</v>
          </cell>
          <cell r="N4">
            <v>1080</v>
          </cell>
          <cell r="O4">
            <v>1710</v>
          </cell>
          <cell r="P4">
            <v>1060</v>
          </cell>
        </row>
        <row r="5">
          <cell r="B5" t="str">
            <v>EVA TK</v>
          </cell>
          <cell r="C5">
            <v>21</v>
          </cell>
          <cell r="E5">
            <v>2</v>
          </cell>
          <cell r="G5" t="str">
            <v>EVA RSU2</v>
          </cell>
          <cell r="H5" t="str">
            <v>EVA RSU</v>
          </cell>
          <cell r="I5">
            <v>2</v>
          </cell>
          <cell r="J5">
            <v>18</v>
          </cell>
          <cell r="K5">
            <v>14</v>
          </cell>
          <cell r="L5">
            <v>12.2</v>
          </cell>
          <cell r="M5">
            <v>1750</v>
          </cell>
          <cell r="N5">
            <v>1110</v>
          </cell>
          <cell r="O5">
            <v>1730</v>
          </cell>
          <cell r="P5">
            <v>1090</v>
          </cell>
        </row>
        <row r="6">
          <cell r="B6" t="str">
            <v>EVA REU</v>
          </cell>
          <cell r="C6" t="str">
            <v>Não existe</v>
          </cell>
          <cell r="E6">
            <v>3</v>
          </cell>
          <cell r="G6" t="str">
            <v>EVA RSU3</v>
          </cell>
          <cell r="H6" t="str">
            <v>EVA RSU</v>
          </cell>
          <cell r="I6">
            <v>3</v>
          </cell>
          <cell r="J6">
            <v>18</v>
          </cell>
          <cell r="K6">
            <v>10</v>
          </cell>
          <cell r="L6">
            <v>12.2</v>
          </cell>
          <cell r="M6">
            <v>1750</v>
          </cell>
          <cell r="N6">
            <v>1110</v>
          </cell>
          <cell r="O6">
            <v>1730</v>
          </cell>
          <cell r="P6">
            <v>1090</v>
          </cell>
        </row>
        <row r="7">
          <cell r="B7" t="str">
            <v>EVA ME</v>
          </cell>
          <cell r="C7">
            <v>30</v>
          </cell>
          <cell r="E7">
            <v>3.5</v>
          </cell>
          <cell r="G7" t="str">
            <v>EVA RSU3,5</v>
          </cell>
          <cell r="H7" t="str">
            <v>EVA RSU</v>
          </cell>
          <cell r="I7">
            <v>3.5</v>
          </cell>
          <cell r="J7">
            <v>16</v>
          </cell>
          <cell r="K7">
            <v>7</v>
          </cell>
          <cell r="L7">
            <v>10.8</v>
          </cell>
          <cell r="M7">
            <v>1750</v>
          </cell>
          <cell r="N7">
            <v>1110</v>
          </cell>
          <cell r="O7">
            <v>1730</v>
          </cell>
          <cell r="P7">
            <v>1090</v>
          </cell>
        </row>
        <row r="8">
          <cell r="B8" t="str">
            <v>EVA GR</v>
          </cell>
          <cell r="C8" t="str">
            <v>Não existe</v>
          </cell>
          <cell r="E8">
            <v>4</v>
          </cell>
          <cell r="G8" t="str">
            <v>EVA RSU4</v>
          </cell>
          <cell r="H8" t="str">
            <v>EVA RSU</v>
          </cell>
          <cell r="I8">
            <v>4</v>
          </cell>
          <cell r="J8">
            <v>16</v>
          </cell>
          <cell r="K8">
            <v>6</v>
          </cell>
          <cell r="L8">
            <v>10.8</v>
          </cell>
          <cell r="M8">
            <v>1750</v>
          </cell>
          <cell r="N8">
            <v>1110</v>
          </cell>
          <cell r="O8">
            <v>1730</v>
          </cell>
          <cell r="P8">
            <v>1090</v>
          </cell>
        </row>
        <row r="9">
          <cell r="B9" t="str">
            <v>EVA PEB</v>
          </cell>
          <cell r="C9" t="str">
            <v>Não existe</v>
          </cell>
          <cell r="E9">
            <v>4.5</v>
          </cell>
          <cell r="G9" t="str">
            <v>EVA RSU4,5</v>
          </cell>
          <cell r="H9" t="str">
            <v>EVA RSU</v>
          </cell>
          <cell r="I9">
            <v>4.5</v>
          </cell>
          <cell r="J9">
            <v>16</v>
          </cell>
          <cell r="K9">
            <v>5</v>
          </cell>
          <cell r="L9">
            <v>10.8</v>
          </cell>
          <cell r="M9">
            <v>1750</v>
          </cell>
          <cell r="N9">
            <v>1110</v>
          </cell>
          <cell r="O9">
            <v>1730</v>
          </cell>
          <cell r="P9">
            <v>1090</v>
          </cell>
        </row>
        <row r="10">
          <cell r="E10">
            <v>5</v>
          </cell>
          <cell r="G10" t="str">
            <v>EVA RSU5</v>
          </cell>
          <cell r="H10" t="str">
            <v>EVA RSU</v>
          </cell>
          <cell r="I10">
            <v>5</v>
          </cell>
          <cell r="J10">
            <v>18</v>
          </cell>
          <cell r="K10">
            <v>6</v>
          </cell>
          <cell r="L10">
            <v>12.2</v>
          </cell>
          <cell r="M10">
            <v>1750</v>
          </cell>
          <cell r="N10">
            <v>1110</v>
          </cell>
          <cell r="O10">
            <v>1730</v>
          </cell>
          <cell r="P10">
            <v>1090</v>
          </cell>
        </row>
        <row r="11">
          <cell r="E11">
            <v>5.5</v>
          </cell>
          <cell r="G11" t="str">
            <v>EVA RSU5,5</v>
          </cell>
          <cell r="H11" t="str">
            <v>EVA RSU</v>
          </cell>
          <cell r="I11">
            <v>5.5</v>
          </cell>
          <cell r="J11">
            <v>16</v>
          </cell>
          <cell r="K11">
            <v>4</v>
          </cell>
          <cell r="L11">
            <v>10.8</v>
          </cell>
          <cell r="M11">
            <v>1750</v>
          </cell>
          <cell r="N11">
            <v>1110</v>
          </cell>
          <cell r="O11">
            <v>1730</v>
          </cell>
          <cell r="P11">
            <v>1090</v>
          </cell>
        </row>
        <row r="12">
          <cell r="E12">
            <v>6</v>
          </cell>
          <cell r="G12" t="str">
            <v>EVA RSU6</v>
          </cell>
          <cell r="H12" t="str">
            <v>EVA RSU</v>
          </cell>
          <cell r="I12">
            <v>6</v>
          </cell>
          <cell r="J12">
            <v>18</v>
          </cell>
          <cell r="K12">
            <v>5</v>
          </cell>
          <cell r="L12">
            <v>12.2</v>
          </cell>
          <cell r="M12">
            <v>1750</v>
          </cell>
          <cell r="N12">
            <v>1110</v>
          </cell>
          <cell r="O12">
            <v>1730</v>
          </cell>
          <cell r="P12">
            <v>1090</v>
          </cell>
        </row>
        <row r="13">
          <cell r="E13">
            <v>7</v>
          </cell>
          <cell r="G13" t="str">
            <v>EVA RSU7</v>
          </cell>
          <cell r="H13" t="str">
            <v>EVA RSU</v>
          </cell>
          <cell r="I13">
            <v>7</v>
          </cell>
          <cell r="J13">
            <v>18</v>
          </cell>
          <cell r="K13">
            <v>4</v>
          </cell>
          <cell r="L13">
            <v>12.2</v>
          </cell>
          <cell r="M13">
            <v>1750</v>
          </cell>
          <cell r="N13">
            <v>1110</v>
          </cell>
          <cell r="O13">
            <v>1730</v>
          </cell>
          <cell r="P13">
            <v>1090</v>
          </cell>
        </row>
        <row r="14">
          <cell r="E14">
            <v>7.8</v>
          </cell>
          <cell r="G14" t="str">
            <v>EVA RSU7,8</v>
          </cell>
          <cell r="H14" t="str">
            <v>EVA RSU</v>
          </cell>
          <cell r="I14">
            <v>7.8</v>
          </cell>
          <cell r="J14">
            <v>16</v>
          </cell>
          <cell r="K14">
            <v>3</v>
          </cell>
          <cell r="L14">
            <v>10.8</v>
          </cell>
          <cell r="M14">
            <v>1750</v>
          </cell>
          <cell r="N14">
            <v>1110</v>
          </cell>
          <cell r="O14">
            <v>1730</v>
          </cell>
          <cell r="P14">
            <v>1090</v>
          </cell>
        </row>
        <row r="15">
          <cell r="E15">
            <v>8</v>
          </cell>
          <cell r="G15" t="str">
            <v>EVA RSU8</v>
          </cell>
          <cell r="H15" t="str">
            <v>EVA RSU</v>
          </cell>
          <cell r="I15">
            <v>8</v>
          </cell>
          <cell r="J15">
            <v>16</v>
          </cell>
          <cell r="K15">
            <v>3</v>
          </cell>
          <cell r="L15">
            <v>10.8</v>
          </cell>
          <cell r="M15">
            <v>1750</v>
          </cell>
          <cell r="N15">
            <v>1110</v>
          </cell>
          <cell r="O15">
            <v>1730</v>
          </cell>
          <cell r="P15">
            <v>1090</v>
          </cell>
        </row>
        <row r="16">
          <cell r="E16">
            <v>10</v>
          </cell>
          <cell r="G16" t="str">
            <v>EVA RSU10</v>
          </cell>
          <cell r="H16" t="str">
            <v>EVA RSU</v>
          </cell>
          <cell r="I16">
            <v>10</v>
          </cell>
          <cell r="J16">
            <v>18</v>
          </cell>
          <cell r="K16">
            <v>3</v>
          </cell>
          <cell r="L16">
            <v>12.2</v>
          </cell>
          <cell r="M16">
            <v>1750</v>
          </cell>
          <cell r="N16">
            <v>1110</v>
          </cell>
          <cell r="O16">
            <v>1730</v>
          </cell>
          <cell r="P16">
            <v>1090</v>
          </cell>
        </row>
        <row r="17">
          <cell r="E17">
            <v>10.5</v>
          </cell>
          <cell r="G17" t="str">
            <v>EVA RSU10,5</v>
          </cell>
          <cell r="H17" t="str">
            <v>EVA RSU</v>
          </cell>
          <cell r="I17">
            <v>10.5</v>
          </cell>
          <cell r="J17">
            <v>16</v>
          </cell>
          <cell r="K17">
            <v>2</v>
          </cell>
          <cell r="L17">
            <v>10.8</v>
          </cell>
          <cell r="M17">
            <v>1750</v>
          </cell>
          <cell r="N17">
            <v>1110</v>
          </cell>
          <cell r="O17">
            <v>1730</v>
          </cell>
          <cell r="P17">
            <v>1090</v>
          </cell>
        </row>
        <row r="18">
          <cell r="E18">
            <v>11</v>
          </cell>
          <cell r="G18" t="str">
            <v>EVA RSU11</v>
          </cell>
          <cell r="H18" t="str">
            <v>EVA RSU</v>
          </cell>
          <cell r="I18">
            <v>11</v>
          </cell>
          <cell r="J18">
            <v>16</v>
          </cell>
          <cell r="K18">
            <v>2</v>
          </cell>
          <cell r="L18">
            <v>10.8</v>
          </cell>
          <cell r="M18">
            <v>1750</v>
          </cell>
          <cell r="N18">
            <v>1110</v>
          </cell>
          <cell r="O18">
            <v>1730</v>
          </cell>
          <cell r="P18">
            <v>1090</v>
          </cell>
        </row>
        <row r="19">
          <cell r="E19">
            <v>12</v>
          </cell>
          <cell r="G19" t="str">
            <v>EVA RSU12</v>
          </cell>
          <cell r="H19" t="str">
            <v>EVA RSU</v>
          </cell>
          <cell r="I19">
            <v>12</v>
          </cell>
          <cell r="J19">
            <v>16</v>
          </cell>
          <cell r="K19">
            <v>2</v>
          </cell>
          <cell r="L19">
            <v>10.8</v>
          </cell>
          <cell r="M19">
            <v>1750</v>
          </cell>
          <cell r="N19">
            <v>1110</v>
          </cell>
          <cell r="O19">
            <v>1730</v>
          </cell>
          <cell r="P19">
            <v>1090</v>
          </cell>
        </row>
        <row r="20">
          <cell r="E20">
            <v>13</v>
          </cell>
          <cell r="G20" t="str">
            <v>EVA RSU13</v>
          </cell>
          <cell r="H20" t="str">
            <v>EVA RSU</v>
          </cell>
          <cell r="I20">
            <v>13</v>
          </cell>
          <cell r="J20">
            <v>16</v>
          </cell>
          <cell r="K20">
            <v>2</v>
          </cell>
          <cell r="L20">
            <v>10.8</v>
          </cell>
          <cell r="M20">
            <v>1750</v>
          </cell>
          <cell r="N20">
            <v>1110</v>
          </cell>
          <cell r="O20">
            <v>1730</v>
          </cell>
          <cell r="P20">
            <v>1090</v>
          </cell>
        </row>
        <row r="21">
          <cell r="E21">
            <v>15</v>
          </cell>
          <cell r="G21" t="str">
            <v>EVA RSU15</v>
          </cell>
          <cell r="H21" t="str">
            <v>EVA RSU</v>
          </cell>
          <cell r="I21">
            <v>15</v>
          </cell>
          <cell r="J21">
            <v>18</v>
          </cell>
          <cell r="K21">
            <v>2</v>
          </cell>
          <cell r="L21">
            <v>12.2</v>
          </cell>
          <cell r="M21">
            <v>1750</v>
          </cell>
          <cell r="N21">
            <v>1110</v>
          </cell>
          <cell r="O21">
            <v>1730</v>
          </cell>
          <cell r="P21">
            <v>1090</v>
          </cell>
        </row>
        <row r="22">
          <cell r="E22">
            <v>24</v>
          </cell>
          <cell r="G22" t="str">
            <v>EVA RSU24</v>
          </cell>
          <cell r="H22" t="str">
            <v>EVA RSU</v>
          </cell>
          <cell r="I22">
            <v>24</v>
          </cell>
          <cell r="J22">
            <v>16</v>
          </cell>
          <cell r="K22">
            <v>1</v>
          </cell>
          <cell r="L22">
            <v>10.8</v>
          </cell>
          <cell r="M22">
            <v>1750</v>
          </cell>
          <cell r="N22">
            <v>1110</v>
          </cell>
          <cell r="O22">
            <v>1730</v>
          </cell>
          <cell r="P22">
            <v>1090</v>
          </cell>
        </row>
        <row r="23">
          <cell r="E23">
            <v>9</v>
          </cell>
          <cell r="G23" t="str">
            <v>EVA TK1,8</v>
          </cell>
          <cell r="H23" t="str">
            <v>EVA TK</v>
          </cell>
          <cell r="I23">
            <v>1.8</v>
          </cell>
          <cell r="J23">
            <v>16</v>
          </cell>
          <cell r="K23">
            <v>12</v>
          </cell>
          <cell r="L23">
            <v>11</v>
          </cell>
          <cell r="M23">
            <v>1650</v>
          </cell>
          <cell r="N23">
            <v>1030</v>
          </cell>
          <cell r="O23">
            <v>1690</v>
          </cell>
          <cell r="P23">
            <v>1010</v>
          </cell>
        </row>
        <row r="24">
          <cell r="E24">
            <v>20</v>
          </cell>
          <cell r="G24" t="str">
            <v>EVA TK3</v>
          </cell>
          <cell r="H24" t="str">
            <v>EVA TK</v>
          </cell>
          <cell r="I24">
            <v>3</v>
          </cell>
          <cell r="J24">
            <v>18</v>
          </cell>
          <cell r="K24">
            <v>9</v>
          </cell>
          <cell r="L24">
            <v>13.5</v>
          </cell>
          <cell r="M24">
            <v>1650</v>
          </cell>
          <cell r="N24">
            <v>1030</v>
          </cell>
          <cell r="O24">
            <v>1690</v>
          </cell>
          <cell r="P24">
            <v>1010</v>
          </cell>
        </row>
        <row r="25">
          <cell r="E25">
            <v>30</v>
          </cell>
          <cell r="G25" t="str">
            <v>EVA TK3,5</v>
          </cell>
          <cell r="H25" t="str">
            <v>EVA TK</v>
          </cell>
          <cell r="I25">
            <v>3.5</v>
          </cell>
          <cell r="J25">
            <v>16</v>
          </cell>
          <cell r="K25">
            <v>6</v>
          </cell>
          <cell r="L25">
            <v>11</v>
          </cell>
          <cell r="M25">
            <v>1650</v>
          </cell>
          <cell r="N25">
            <v>1030</v>
          </cell>
          <cell r="O25">
            <v>1690</v>
          </cell>
          <cell r="P25">
            <v>1010</v>
          </cell>
        </row>
        <row r="26">
          <cell r="G26" t="str">
            <v>EVA TK4,5</v>
          </cell>
          <cell r="H26" t="str">
            <v>EVA TK</v>
          </cell>
          <cell r="I26">
            <v>4.5</v>
          </cell>
          <cell r="J26">
            <v>18</v>
          </cell>
          <cell r="K26">
            <v>6</v>
          </cell>
          <cell r="L26">
            <v>13.5</v>
          </cell>
          <cell r="M26">
            <v>1650</v>
          </cell>
          <cell r="N26">
            <v>1030</v>
          </cell>
          <cell r="O26">
            <v>1690</v>
          </cell>
          <cell r="P26">
            <v>1010</v>
          </cell>
        </row>
        <row r="27">
          <cell r="G27" t="str">
            <v>EVA TK5</v>
          </cell>
          <cell r="H27" t="str">
            <v>EVA TK</v>
          </cell>
          <cell r="I27">
            <v>5</v>
          </cell>
          <cell r="J27">
            <v>16</v>
          </cell>
          <cell r="K27">
            <v>4</v>
          </cell>
          <cell r="L27">
            <v>11</v>
          </cell>
          <cell r="M27">
            <v>1650</v>
          </cell>
          <cell r="N27">
            <v>1030</v>
          </cell>
          <cell r="O27">
            <v>1690</v>
          </cell>
          <cell r="P27">
            <v>1010</v>
          </cell>
        </row>
        <row r="28">
          <cell r="G28" t="str">
            <v>EVA TK5,5</v>
          </cell>
          <cell r="H28" t="str">
            <v>EVA TK</v>
          </cell>
          <cell r="I28">
            <v>5.5</v>
          </cell>
          <cell r="J28">
            <v>16</v>
          </cell>
          <cell r="K28">
            <v>4</v>
          </cell>
          <cell r="L28">
            <v>11</v>
          </cell>
          <cell r="M28">
            <v>1650</v>
          </cell>
          <cell r="N28">
            <v>1030</v>
          </cell>
          <cell r="O28">
            <v>1690</v>
          </cell>
          <cell r="P28">
            <v>1010</v>
          </cell>
        </row>
        <row r="29">
          <cell r="G29" t="str">
            <v>EVA TK6</v>
          </cell>
          <cell r="H29" t="str">
            <v>EVA TK</v>
          </cell>
          <cell r="I29">
            <v>6</v>
          </cell>
          <cell r="J29">
            <v>18</v>
          </cell>
          <cell r="K29">
            <v>4</v>
          </cell>
          <cell r="L29">
            <v>13.5</v>
          </cell>
          <cell r="M29">
            <v>1650</v>
          </cell>
          <cell r="N29">
            <v>1030</v>
          </cell>
          <cell r="O29">
            <v>1690</v>
          </cell>
          <cell r="P29">
            <v>1010</v>
          </cell>
        </row>
        <row r="30">
          <cell r="G30" t="str">
            <v>EVA TK7</v>
          </cell>
          <cell r="H30" t="str">
            <v>EVA TK</v>
          </cell>
          <cell r="I30">
            <v>7</v>
          </cell>
          <cell r="J30">
            <v>16</v>
          </cell>
          <cell r="K30">
            <v>3</v>
          </cell>
          <cell r="L30">
            <v>11</v>
          </cell>
          <cell r="M30">
            <v>1650</v>
          </cell>
          <cell r="N30">
            <v>1030</v>
          </cell>
          <cell r="O30">
            <v>1690</v>
          </cell>
          <cell r="P30">
            <v>1010</v>
          </cell>
        </row>
        <row r="31">
          <cell r="G31" t="str">
            <v>EVA TK8</v>
          </cell>
          <cell r="H31" t="str">
            <v>EVA TK</v>
          </cell>
          <cell r="I31">
            <v>8</v>
          </cell>
          <cell r="J31">
            <v>18</v>
          </cell>
          <cell r="K31">
            <v>3</v>
          </cell>
          <cell r="L31">
            <v>13.5</v>
          </cell>
          <cell r="M31">
            <v>1650</v>
          </cell>
          <cell r="N31">
            <v>1030</v>
          </cell>
          <cell r="O31">
            <v>1690</v>
          </cell>
          <cell r="P31">
            <v>1010</v>
          </cell>
        </row>
        <row r="32">
          <cell r="G32" t="str">
            <v>EVA TK9</v>
          </cell>
          <cell r="H32" t="str">
            <v>EVA TK</v>
          </cell>
          <cell r="I32">
            <v>9</v>
          </cell>
          <cell r="J32">
            <v>18</v>
          </cell>
          <cell r="K32">
            <v>3</v>
          </cell>
          <cell r="L32">
            <v>13.5</v>
          </cell>
          <cell r="M32">
            <v>1650</v>
          </cell>
          <cell r="N32">
            <v>1030</v>
          </cell>
          <cell r="O32">
            <v>1690</v>
          </cell>
          <cell r="P32">
            <v>1010</v>
          </cell>
        </row>
        <row r="33">
          <cell r="G33" t="str">
            <v>EVA TK10</v>
          </cell>
          <cell r="H33" t="str">
            <v>EVA TK</v>
          </cell>
          <cell r="I33">
            <v>10</v>
          </cell>
          <cell r="J33">
            <v>16</v>
          </cell>
          <cell r="K33">
            <v>2</v>
          </cell>
          <cell r="L33">
            <v>11</v>
          </cell>
          <cell r="M33">
            <v>1650</v>
          </cell>
          <cell r="N33">
            <v>1030</v>
          </cell>
          <cell r="O33">
            <v>1690</v>
          </cell>
          <cell r="P33">
            <v>1010</v>
          </cell>
        </row>
        <row r="34">
          <cell r="G34" t="str">
            <v>EVA REU4</v>
          </cell>
          <cell r="H34" t="str">
            <v>EVA REU</v>
          </cell>
          <cell r="I34">
            <v>4</v>
          </cell>
          <cell r="J34">
            <v>16</v>
          </cell>
          <cell r="K34">
            <v>6</v>
          </cell>
          <cell r="L34">
            <v>10</v>
          </cell>
          <cell r="M34">
            <v>1680</v>
          </cell>
          <cell r="N34">
            <v>980</v>
          </cell>
          <cell r="O34">
            <v>1660</v>
          </cell>
          <cell r="P34">
            <v>960</v>
          </cell>
        </row>
        <row r="35">
          <cell r="G35" t="str">
            <v>EVA REU5</v>
          </cell>
          <cell r="H35" t="str">
            <v>EVA REU</v>
          </cell>
          <cell r="I35">
            <v>5</v>
          </cell>
          <cell r="J35">
            <v>16</v>
          </cell>
          <cell r="K35">
            <v>5</v>
          </cell>
          <cell r="L35">
            <v>10</v>
          </cell>
          <cell r="M35">
            <v>1680</v>
          </cell>
          <cell r="N35">
            <v>980</v>
          </cell>
          <cell r="O35">
            <v>1660</v>
          </cell>
          <cell r="P35">
            <v>960</v>
          </cell>
        </row>
        <row r="36">
          <cell r="G36" t="str">
            <v>EVA REU6</v>
          </cell>
          <cell r="H36" t="str">
            <v>EVA REU</v>
          </cell>
          <cell r="I36">
            <v>6</v>
          </cell>
          <cell r="J36">
            <v>16</v>
          </cell>
          <cell r="K36">
            <v>4</v>
          </cell>
          <cell r="L36">
            <v>10</v>
          </cell>
          <cell r="M36">
            <v>1680</v>
          </cell>
          <cell r="N36">
            <v>980</v>
          </cell>
          <cell r="O36">
            <v>1660</v>
          </cell>
          <cell r="P36">
            <v>960</v>
          </cell>
        </row>
        <row r="37">
          <cell r="G37" t="str">
            <v>EVA REU12</v>
          </cell>
          <cell r="H37" t="str">
            <v>EVA REU</v>
          </cell>
          <cell r="I37">
            <v>12</v>
          </cell>
          <cell r="J37">
            <v>12</v>
          </cell>
          <cell r="K37">
            <v>2</v>
          </cell>
          <cell r="L37">
            <v>6.8</v>
          </cell>
          <cell r="M37">
            <v>1460</v>
          </cell>
          <cell r="N37">
            <v>950</v>
          </cell>
          <cell r="O37">
            <v>1440</v>
          </cell>
          <cell r="P37">
            <v>930</v>
          </cell>
        </row>
        <row r="38">
          <cell r="G38" t="str">
            <v>EVA GR2</v>
          </cell>
          <cell r="H38" t="str">
            <v>EVA GR</v>
          </cell>
          <cell r="I38">
            <v>2</v>
          </cell>
          <cell r="J38">
            <v>10.199999999999999</v>
          </cell>
          <cell r="K38">
            <v>9</v>
          </cell>
          <cell r="L38">
            <v>5</v>
          </cell>
          <cell r="M38">
            <v>1600</v>
          </cell>
          <cell r="N38">
            <v>1300</v>
          </cell>
          <cell r="O38">
            <v>1600</v>
          </cell>
          <cell r="P38">
            <v>1300</v>
          </cell>
        </row>
        <row r="39">
          <cell r="G39" t="str">
            <v>EVA ME1,8</v>
          </cell>
          <cell r="H39" t="str">
            <v>EVA ME</v>
          </cell>
          <cell r="I39">
            <v>1.8</v>
          </cell>
          <cell r="J39">
            <v>18</v>
          </cell>
          <cell r="K39">
            <v>16</v>
          </cell>
          <cell r="L39">
            <v>12.2</v>
          </cell>
          <cell r="M39">
            <v>168</v>
          </cell>
          <cell r="N39">
            <v>1050</v>
          </cell>
          <cell r="O39">
            <v>1660</v>
          </cell>
          <cell r="P39">
            <v>1030</v>
          </cell>
        </row>
        <row r="40">
          <cell r="G40" t="str">
            <v>EVA ME6</v>
          </cell>
          <cell r="H40" t="str">
            <v>EVA ME</v>
          </cell>
          <cell r="I40">
            <v>6</v>
          </cell>
          <cell r="J40">
            <v>18</v>
          </cell>
          <cell r="K40">
            <v>5</v>
          </cell>
          <cell r="L40">
            <v>12.2</v>
          </cell>
          <cell r="M40">
            <v>168</v>
          </cell>
          <cell r="N40">
            <v>1050</v>
          </cell>
          <cell r="O40">
            <v>1660</v>
          </cell>
          <cell r="P40">
            <v>1030</v>
          </cell>
        </row>
        <row r="41">
          <cell r="G41" t="str">
            <v>EVA ME8</v>
          </cell>
          <cell r="H41" t="str">
            <v>EVA ME</v>
          </cell>
          <cell r="I41">
            <v>8</v>
          </cell>
          <cell r="J41">
            <v>16</v>
          </cell>
          <cell r="K41">
            <v>3</v>
          </cell>
          <cell r="L41">
            <v>10.8</v>
          </cell>
          <cell r="M41">
            <v>168</v>
          </cell>
          <cell r="N41">
            <v>1050</v>
          </cell>
          <cell r="O41">
            <v>1660</v>
          </cell>
          <cell r="P41">
            <v>1030</v>
          </cell>
        </row>
        <row r="42">
          <cell r="G42" t="str">
            <v>EVA ME10,5</v>
          </cell>
          <cell r="H42" t="str">
            <v>EVA ME</v>
          </cell>
          <cell r="I42">
            <v>10.5</v>
          </cell>
          <cell r="J42">
            <v>16</v>
          </cell>
          <cell r="K42">
            <v>2</v>
          </cell>
          <cell r="L42">
            <v>10.8</v>
          </cell>
          <cell r="M42">
            <v>168</v>
          </cell>
          <cell r="N42">
            <v>1050</v>
          </cell>
          <cell r="O42">
            <v>1660</v>
          </cell>
          <cell r="P42">
            <v>1030</v>
          </cell>
        </row>
        <row r="43">
          <cell r="G43" t="str">
            <v>EVA ME20</v>
          </cell>
          <cell r="H43" t="str">
            <v>EVA ME</v>
          </cell>
          <cell r="I43">
            <v>20</v>
          </cell>
          <cell r="J43">
            <v>16</v>
          </cell>
          <cell r="K43">
            <v>1</v>
          </cell>
          <cell r="L43">
            <v>10.8</v>
          </cell>
          <cell r="M43">
            <v>168</v>
          </cell>
          <cell r="N43">
            <v>1050</v>
          </cell>
          <cell r="O43">
            <v>1660</v>
          </cell>
          <cell r="P43">
            <v>1030</v>
          </cell>
        </row>
        <row r="44">
          <cell r="G44" t="str">
            <v>EVA ME24</v>
          </cell>
          <cell r="H44" t="str">
            <v>EVA ME</v>
          </cell>
          <cell r="I44">
            <v>24</v>
          </cell>
          <cell r="J44">
            <v>16</v>
          </cell>
          <cell r="K44">
            <v>1</v>
          </cell>
          <cell r="L44">
            <v>10.8</v>
          </cell>
          <cell r="M44">
            <v>168</v>
          </cell>
          <cell r="N44">
            <v>1050</v>
          </cell>
          <cell r="O44">
            <v>1660</v>
          </cell>
          <cell r="P44">
            <v>1030</v>
          </cell>
        </row>
        <row r="45">
          <cell r="G45" t="str">
            <v>EVA ME30</v>
          </cell>
          <cell r="H45" t="str">
            <v>EVA ME</v>
          </cell>
          <cell r="I45">
            <v>30</v>
          </cell>
          <cell r="J45">
            <v>18</v>
          </cell>
          <cell r="K45">
            <v>1</v>
          </cell>
          <cell r="L45">
            <v>12.2</v>
          </cell>
          <cell r="M45">
            <v>168</v>
          </cell>
          <cell r="N45">
            <v>1050</v>
          </cell>
          <cell r="O45">
            <v>1660</v>
          </cell>
          <cell r="P45">
            <v>1030</v>
          </cell>
        </row>
        <row r="46">
          <cell r="G46" t="str">
            <v>EVA PEB11</v>
          </cell>
          <cell r="H46" t="str">
            <v>EVA PEB</v>
          </cell>
          <cell r="I46">
            <v>11</v>
          </cell>
          <cell r="J46">
            <v>16</v>
          </cell>
          <cell r="K46">
            <v>2</v>
          </cell>
          <cell r="L46">
            <v>10.8</v>
          </cell>
          <cell r="M46">
            <v>1740</v>
          </cell>
          <cell r="N46">
            <v>1060</v>
          </cell>
          <cell r="O46">
            <v>1720</v>
          </cell>
          <cell r="P46">
            <v>1040</v>
          </cell>
        </row>
      </sheetData>
      <sheetData sheetId="2">
        <row r="4">
          <cell r="B4" t="str">
            <v>39510</v>
          </cell>
          <cell r="AP4" t="str">
            <v>MELISSA X BEND AD</v>
          </cell>
          <cell r="HR4">
            <v>46023</v>
          </cell>
          <cell r="NV4" t="str">
            <v>Escala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wsConfig"/>
      <sheetName val="Parâmetros EVA"/>
      <sheetName val="COURACA"/>
      <sheetName val="PALMILHA MONTAGEM"/>
      <sheetName val="ESPUMA GOLA PLACA 2x1,5"/>
      <sheetName val="ESPUMA GOLA PLACA 1,6x1,2"/>
      <sheetName val="CABEDAL "/>
      <sheetName val="LINGUETA"/>
      <sheetName val="BIQUEIRA VISTA INFERIOR"/>
      <sheetName val="ENFEITE X EXT"/>
      <sheetName val="ENFEITE X INT"/>
      <sheetName val="COURAÇA"/>
      <sheetName val="FORRO LINGUETA"/>
      <sheetName val="REFORÇO CABEDAL"/>
      <sheetName val="GOLA AVESSO"/>
      <sheetName val="ENFEITE LINGUETA"/>
      <sheetName val="ENFEITE TRASEIRO"/>
      <sheetName val="ENFEITE VISTA SUPERIOR"/>
      <sheetName val="TECIDO PALMILHA"/>
      <sheetName val="FILME PALMILHA"/>
      <sheetName val="PALMILHA EVA"/>
      <sheetName val="PC"/>
      <sheetName val="Histórico de Alterações"/>
      <sheetName val="Mapa de Materiais"/>
      <sheetName val="Mapa de Processos"/>
      <sheetName val="wsGab_Coverline"/>
      <sheetName val="wsGab_Dedeira"/>
      <sheetName val="wsGab_EVA"/>
      <sheetName val="wsGab_HotStampComAlternancia"/>
      <sheetName val="wsGab_HotStampSemAlternancia"/>
      <sheetName val="wsGab_HotStampComAlternancia2"/>
      <sheetName val="wsGab_VelcroIrregular"/>
      <sheetName val="wsGab_CorteAFio"/>
      <sheetName val="wsGab_CortePlaca"/>
      <sheetName val="wsGab_VelcroRegular"/>
    </sheetNames>
    <sheetDataSet>
      <sheetData sheetId="0" refreshError="1"/>
      <sheetData sheetId="1">
        <row r="2">
          <cell r="G2" t="str">
            <v>Parâmetros Que Variam Por Composto x Espessura</v>
          </cell>
        </row>
        <row r="3">
          <cell r="G3" t="str">
            <v>Localizador</v>
          </cell>
          <cell r="H3" t="str">
            <v>Composto</v>
          </cell>
          <cell r="I3" t="str">
            <v>Espessura</v>
          </cell>
          <cell r="J3" t="str">
            <v>Molde</v>
          </cell>
          <cell r="K3" t="str">
            <v>PL RAC</v>
          </cell>
          <cell r="L3" t="str">
            <v>KG PL</v>
          </cell>
          <cell r="M3" t="str">
            <v>Comprimento Placa</v>
          </cell>
          <cell r="N3" t="str">
            <v>Largura Placa</v>
          </cell>
          <cell r="O3" t="str">
            <v>Comprimento Sistema</v>
          </cell>
          <cell r="P3" t="str">
            <v>Largura Sistema</v>
          </cell>
        </row>
        <row r="4">
          <cell r="B4" t="str">
            <v>EVA RSU</v>
          </cell>
          <cell r="C4">
            <v>31</v>
          </cell>
          <cell r="E4">
            <v>1.8</v>
          </cell>
          <cell r="G4" t="str">
            <v>EVA RSU1,8</v>
          </cell>
          <cell r="H4" t="str">
            <v>EVA RSU</v>
          </cell>
          <cell r="I4">
            <v>1.8</v>
          </cell>
          <cell r="J4">
            <v>18</v>
          </cell>
          <cell r="K4">
            <v>16</v>
          </cell>
          <cell r="L4">
            <v>12.2</v>
          </cell>
          <cell r="M4">
            <v>1730</v>
          </cell>
          <cell r="N4">
            <v>1080</v>
          </cell>
          <cell r="O4">
            <v>1710</v>
          </cell>
          <cell r="P4">
            <v>1060</v>
          </cell>
        </row>
        <row r="5">
          <cell r="B5" t="str">
            <v>EVA TK</v>
          </cell>
          <cell r="C5">
            <v>21</v>
          </cell>
          <cell r="E5">
            <v>2</v>
          </cell>
          <cell r="G5" t="str">
            <v>EVA RSU2</v>
          </cell>
          <cell r="H5" t="str">
            <v>EVA RSU</v>
          </cell>
          <cell r="I5">
            <v>2</v>
          </cell>
          <cell r="J5">
            <v>18</v>
          </cell>
          <cell r="K5">
            <v>14</v>
          </cell>
          <cell r="L5">
            <v>12.2</v>
          </cell>
          <cell r="M5">
            <v>1750</v>
          </cell>
          <cell r="N5">
            <v>1110</v>
          </cell>
          <cell r="O5">
            <v>1730</v>
          </cell>
          <cell r="P5">
            <v>1090</v>
          </cell>
        </row>
        <row r="6">
          <cell r="B6" t="str">
            <v>EVA REU</v>
          </cell>
          <cell r="C6" t="str">
            <v>Não existe</v>
          </cell>
          <cell r="E6">
            <v>3</v>
          </cell>
          <cell r="G6" t="str">
            <v>EVA RSU3</v>
          </cell>
          <cell r="H6" t="str">
            <v>EVA RSU</v>
          </cell>
          <cell r="I6">
            <v>3</v>
          </cell>
          <cell r="J6">
            <v>18</v>
          </cell>
          <cell r="K6">
            <v>10</v>
          </cell>
          <cell r="L6">
            <v>12.2</v>
          </cell>
          <cell r="M6">
            <v>1750</v>
          </cell>
          <cell r="N6">
            <v>1110</v>
          </cell>
          <cell r="O6">
            <v>1730</v>
          </cell>
          <cell r="P6">
            <v>1090</v>
          </cell>
        </row>
        <row r="7">
          <cell r="B7" t="str">
            <v>EVA ME</v>
          </cell>
          <cell r="C7">
            <v>30</v>
          </cell>
          <cell r="E7">
            <v>3.5</v>
          </cell>
          <cell r="G7" t="str">
            <v>EVA RSU3,5</v>
          </cell>
          <cell r="H7" t="str">
            <v>EVA RSU</v>
          </cell>
          <cell r="I7">
            <v>3.5</v>
          </cell>
          <cell r="J7">
            <v>16</v>
          </cell>
          <cell r="K7">
            <v>7</v>
          </cell>
          <cell r="L7">
            <v>10.8</v>
          </cell>
          <cell r="M7">
            <v>1750</v>
          </cell>
          <cell r="N7">
            <v>1110</v>
          </cell>
          <cell r="O7">
            <v>1730</v>
          </cell>
          <cell r="P7">
            <v>1090</v>
          </cell>
        </row>
        <row r="8">
          <cell r="B8" t="str">
            <v>EVA GR</v>
          </cell>
          <cell r="C8" t="str">
            <v>Não existe</v>
          </cell>
          <cell r="E8">
            <v>4</v>
          </cell>
          <cell r="G8" t="str">
            <v>EVA RSU4</v>
          </cell>
          <cell r="H8" t="str">
            <v>EVA RSU</v>
          </cell>
          <cell r="I8">
            <v>4</v>
          </cell>
          <cell r="J8">
            <v>16</v>
          </cell>
          <cell r="K8">
            <v>6</v>
          </cell>
          <cell r="L8">
            <v>10.8</v>
          </cell>
          <cell r="M8">
            <v>1750</v>
          </cell>
          <cell r="N8">
            <v>1110</v>
          </cell>
          <cell r="O8">
            <v>1730</v>
          </cell>
          <cell r="P8">
            <v>1090</v>
          </cell>
        </row>
        <row r="9">
          <cell r="B9" t="str">
            <v>EVA PEB</v>
          </cell>
          <cell r="C9" t="str">
            <v>Não existe</v>
          </cell>
          <cell r="E9">
            <v>4.5</v>
          </cell>
          <cell r="G9" t="str">
            <v>EVA RSU4,5</v>
          </cell>
          <cell r="H9" t="str">
            <v>EVA RSU</v>
          </cell>
          <cell r="I9">
            <v>4.5</v>
          </cell>
          <cell r="J9">
            <v>16</v>
          </cell>
          <cell r="K9">
            <v>5</v>
          </cell>
          <cell r="L9">
            <v>10.8</v>
          </cell>
          <cell r="M9">
            <v>1750</v>
          </cell>
          <cell r="N9">
            <v>1110</v>
          </cell>
          <cell r="O9">
            <v>1730</v>
          </cell>
          <cell r="P9">
            <v>1090</v>
          </cell>
        </row>
        <row r="10">
          <cell r="E10">
            <v>5</v>
          </cell>
          <cell r="G10" t="str">
            <v>EVA RSU5</v>
          </cell>
          <cell r="H10" t="str">
            <v>EVA RSU</v>
          </cell>
          <cell r="I10">
            <v>5</v>
          </cell>
          <cell r="J10">
            <v>18</v>
          </cell>
          <cell r="K10">
            <v>6</v>
          </cell>
          <cell r="L10">
            <v>12.2</v>
          </cell>
          <cell r="M10">
            <v>1750</v>
          </cell>
          <cell r="N10">
            <v>1110</v>
          </cell>
          <cell r="O10">
            <v>1730</v>
          </cell>
          <cell r="P10">
            <v>1090</v>
          </cell>
        </row>
        <row r="11">
          <cell r="E11">
            <v>5.5</v>
          </cell>
          <cell r="G11" t="str">
            <v>EVA RSU5,5</v>
          </cell>
          <cell r="H11" t="str">
            <v>EVA RSU</v>
          </cell>
          <cell r="I11">
            <v>5.5</v>
          </cell>
          <cell r="J11">
            <v>16</v>
          </cell>
          <cell r="K11">
            <v>4</v>
          </cell>
          <cell r="L11">
            <v>10.8</v>
          </cell>
          <cell r="M11">
            <v>1750</v>
          </cell>
          <cell r="N11">
            <v>1110</v>
          </cell>
          <cell r="O11">
            <v>1730</v>
          </cell>
          <cell r="P11">
            <v>1090</v>
          </cell>
        </row>
        <row r="12">
          <cell r="E12">
            <v>6</v>
          </cell>
          <cell r="G12" t="str">
            <v>EVA RSU6</v>
          </cell>
          <cell r="H12" t="str">
            <v>EVA RSU</v>
          </cell>
          <cell r="I12">
            <v>6</v>
          </cell>
          <cell r="J12">
            <v>18</v>
          </cell>
          <cell r="K12">
            <v>5</v>
          </cell>
          <cell r="L12">
            <v>12.2</v>
          </cell>
          <cell r="M12">
            <v>1750</v>
          </cell>
          <cell r="N12">
            <v>1110</v>
          </cell>
          <cell r="O12">
            <v>1730</v>
          </cell>
          <cell r="P12">
            <v>1090</v>
          </cell>
        </row>
        <row r="13">
          <cell r="E13">
            <v>7</v>
          </cell>
          <cell r="G13" t="str">
            <v>EVA RSU7</v>
          </cell>
          <cell r="H13" t="str">
            <v>EVA RSU</v>
          </cell>
          <cell r="I13">
            <v>7</v>
          </cell>
          <cell r="J13">
            <v>18</v>
          </cell>
          <cell r="K13">
            <v>4</v>
          </cell>
          <cell r="L13">
            <v>12.2</v>
          </cell>
          <cell r="M13">
            <v>1750</v>
          </cell>
          <cell r="N13">
            <v>1110</v>
          </cell>
          <cell r="O13">
            <v>1730</v>
          </cell>
          <cell r="P13">
            <v>1090</v>
          </cell>
        </row>
        <row r="14">
          <cell r="E14">
            <v>7.8</v>
          </cell>
          <cell r="G14" t="str">
            <v>EVA RSU7,8</v>
          </cell>
          <cell r="H14" t="str">
            <v>EVA RSU</v>
          </cell>
          <cell r="I14">
            <v>7.8</v>
          </cell>
          <cell r="J14">
            <v>16</v>
          </cell>
          <cell r="K14">
            <v>3</v>
          </cell>
          <cell r="L14">
            <v>10.8</v>
          </cell>
          <cell r="M14">
            <v>1750</v>
          </cell>
          <cell r="N14">
            <v>1110</v>
          </cell>
          <cell r="O14">
            <v>1730</v>
          </cell>
          <cell r="P14">
            <v>1090</v>
          </cell>
        </row>
        <row r="15">
          <cell r="E15">
            <v>8</v>
          </cell>
          <cell r="G15" t="str">
            <v>EVA RSU8</v>
          </cell>
          <cell r="H15" t="str">
            <v>EVA RSU</v>
          </cell>
          <cell r="I15">
            <v>8</v>
          </cell>
          <cell r="J15">
            <v>16</v>
          </cell>
          <cell r="K15">
            <v>3</v>
          </cell>
          <cell r="L15">
            <v>10.8</v>
          </cell>
          <cell r="M15">
            <v>1750</v>
          </cell>
          <cell r="N15">
            <v>1110</v>
          </cell>
          <cell r="O15">
            <v>1730</v>
          </cell>
          <cell r="P15">
            <v>1090</v>
          </cell>
        </row>
        <row r="16">
          <cell r="E16">
            <v>8.5</v>
          </cell>
          <cell r="G16" t="str">
            <v>EVA RSU8,5</v>
          </cell>
          <cell r="H16" t="str">
            <v>EVA RSU</v>
          </cell>
          <cell r="I16">
            <v>8.5</v>
          </cell>
          <cell r="J16">
            <v>16</v>
          </cell>
          <cell r="K16">
            <v>3</v>
          </cell>
          <cell r="L16">
            <v>10.8</v>
          </cell>
          <cell r="M16">
            <v>1750</v>
          </cell>
          <cell r="N16">
            <v>1110</v>
          </cell>
          <cell r="O16">
            <v>1730</v>
          </cell>
          <cell r="P16">
            <v>1090</v>
          </cell>
        </row>
        <row r="17">
          <cell r="E17">
            <v>10</v>
          </cell>
          <cell r="G17" t="str">
            <v>EVA RSU10</v>
          </cell>
          <cell r="H17" t="str">
            <v>EVA RSU</v>
          </cell>
          <cell r="I17">
            <v>10</v>
          </cell>
          <cell r="J17">
            <v>18</v>
          </cell>
          <cell r="K17">
            <v>3</v>
          </cell>
          <cell r="L17">
            <v>12.2</v>
          </cell>
          <cell r="M17">
            <v>1750</v>
          </cell>
          <cell r="N17">
            <v>1110</v>
          </cell>
          <cell r="O17">
            <v>1730</v>
          </cell>
          <cell r="P17">
            <v>1090</v>
          </cell>
        </row>
        <row r="18">
          <cell r="E18">
            <v>10.5</v>
          </cell>
          <cell r="G18" t="str">
            <v>EVA RSU10,5</v>
          </cell>
          <cell r="H18" t="str">
            <v>EVA RSU</v>
          </cell>
          <cell r="I18">
            <v>10.5</v>
          </cell>
          <cell r="J18">
            <v>16</v>
          </cell>
          <cell r="K18">
            <v>2</v>
          </cell>
          <cell r="L18">
            <v>10.8</v>
          </cell>
          <cell r="M18">
            <v>1750</v>
          </cell>
          <cell r="N18">
            <v>1110</v>
          </cell>
          <cell r="O18">
            <v>1730</v>
          </cell>
          <cell r="P18">
            <v>1090</v>
          </cell>
        </row>
        <row r="19">
          <cell r="E19">
            <v>11</v>
          </cell>
          <cell r="G19" t="str">
            <v>EVA RSU11</v>
          </cell>
          <cell r="H19" t="str">
            <v>EVA RSU</v>
          </cell>
          <cell r="I19">
            <v>11</v>
          </cell>
          <cell r="J19">
            <v>16</v>
          </cell>
          <cell r="K19">
            <v>2</v>
          </cell>
          <cell r="L19">
            <v>10.8</v>
          </cell>
          <cell r="M19">
            <v>1750</v>
          </cell>
          <cell r="N19">
            <v>1110</v>
          </cell>
          <cell r="O19">
            <v>1730</v>
          </cell>
          <cell r="P19">
            <v>1090</v>
          </cell>
        </row>
        <row r="20">
          <cell r="E20">
            <v>12</v>
          </cell>
          <cell r="G20" t="str">
            <v>EVA RSU12</v>
          </cell>
          <cell r="H20" t="str">
            <v>EVA RSU</v>
          </cell>
          <cell r="I20">
            <v>12</v>
          </cell>
          <cell r="J20">
            <v>16</v>
          </cell>
          <cell r="K20">
            <v>2</v>
          </cell>
          <cell r="L20">
            <v>10.8</v>
          </cell>
          <cell r="M20">
            <v>1750</v>
          </cell>
          <cell r="N20">
            <v>1110</v>
          </cell>
          <cell r="O20">
            <v>1730</v>
          </cell>
          <cell r="P20">
            <v>1090</v>
          </cell>
        </row>
        <row r="21">
          <cell r="E21">
            <v>13</v>
          </cell>
          <cell r="G21" t="str">
            <v>EVA RSU13</v>
          </cell>
          <cell r="H21" t="str">
            <v>EVA RSU</v>
          </cell>
          <cell r="I21">
            <v>13</v>
          </cell>
          <cell r="J21">
            <v>16</v>
          </cell>
          <cell r="K21">
            <v>2</v>
          </cell>
          <cell r="L21">
            <v>10.8</v>
          </cell>
          <cell r="M21">
            <v>1750</v>
          </cell>
          <cell r="N21">
            <v>1110</v>
          </cell>
          <cell r="O21">
            <v>1730</v>
          </cell>
          <cell r="P21">
            <v>1090</v>
          </cell>
        </row>
        <row r="22">
          <cell r="E22">
            <v>15</v>
          </cell>
          <cell r="G22" t="str">
            <v>EVA RSU15</v>
          </cell>
          <cell r="H22" t="str">
            <v>EVA RSU</v>
          </cell>
          <cell r="I22">
            <v>15</v>
          </cell>
          <cell r="J22">
            <v>18</v>
          </cell>
          <cell r="K22">
            <v>2</v>
          </cell>
          <cell r="L22">
            <v>12.2</v>
          </cell>
          <cell r="M22">
            <v>1750</v>
          </cell>
          <cell r="N22">
            <v>1110</v>
          </cell>
          <cell r="O22">
            <v>1730</v>
          </cell>
          <cell r="P22">
            <v>1090</v>
          </cell>
        </row>
        <row r="23">
          <cell r="E23">
            <v>24</v>
          </cell>
          <cell r="G23" t="str">
            <v>EVA RSU24</v>
          </cell>
          <cell r="H23" t="str">
            <v>EVA RSU</v>
          </cell>
          <cell r="I23">
            <v>24</v>
          </cell>
          <cell r="J23">
            <v>16</v>
          </cell>
          <cell r="K23">
            <v>1</v>
          </cell>
          <cell r="L23">
            <v>10.8</v>
          </cell>
          <cell r="M23">
            <v>1750</v>
          </cell>
          <cell r="N23">
            <v>1110</v>
          </cell>
          <cell r="O23">
            <v>1730</v>
          </cell>
          <cell r="P23">
            <v>1090</v>
          </cell>
        </row>
        <row r="24">
          <cell r="E24">
            <v>9</v>
          </cell>
          <cell r="G24" t="str">
            <v>EVA TK1,8</v>
          </cell>
          <cell r="H24" t="str">
            <v>EVA TK</v>
          </cell>
          <cell r="I24">
            <v>1.8</v>
          </cell>
          <cell r="J24">
            <v>16</v>
          </cell>
          <cell r="K24">
            <v>12</v>
          </cell>
          <cell r="L24">
            <v>11</v>
          </cell>
          <cell r="M24">
            <v>1650</v>
          </cell>
          <cell r="N24">
            <v>1030</v>
          </cell>
          <cell r="O24">
            <v>1690</v>
          </cell>
          <cell r="P24">
            <v>1010</v>
          </cell>
        </row>
        <row r="25">
          <cell r="E25">
            <v>20</v>
          </cell>
          <cell r="G25" t="str">
            <v>EVA TK3</v>
          </cell>
          <cell r="H25" t="str">
            <v>EVA TK</v>
          </cell>
          <cell r="I25">
            <v>3</v>
          </cell>
          <cell r="J25">
            <v>18</v>
          </cell>
          <cell r="K25">
            <v>9</v>
          </cell>
          <cell r="L25">
            <v>13.5</v>
          </cell>
          <cell r="M25">
            <v>1650</v>
          </cell>
          <cell r="N25">
            <v>1030</v>
          </cell>
          <cell r="O25">
            <v>1690</v>
          </cell>
          <cell r="P25">
            <v>1010</v>
          </cell>
        </row>
        <row r="26">
          <cell r="E26">
            <v>30</v>
          </cell>
          <cell r="G26" t="str">
            <v>EVA TK3,5</v>
          </cell>
          <cell r="H26" t="str">
            <v>EVA TK</v>
          </cell>
          <cell r="I26">
            <v>3.5</v>
          </cell>
          <cell r="J26">
            <v>16</v>
          </cell>
          <cell r="K26">
            <v>6</v>
          </cell>
          <cell r="L26">
            <v>11</v>
          </cell>
          <cell r="M26">
            <v>1650</v>
          </cell>
          <cell r="N26">
            <v>1030</v>
          </cell>
          <cell r="O26">
            <v>1690</v>
          </cell>
          <cell r="P26">
            <v>1010</v>
          </cell>
        </row>
        <row r="27">
          <cell r="G27" t="str">
            <v>EVA TK4,5</v>
          </cell>
          <cell r="H27" t="str">
            <v>EVA TK</v>
          </cell>
          <cell r="I27">
            <v>4.5</v>
          </cell>
          <cell r="J27">
            <v>18</v>
          </cell>
          <cell r="K27">
            <v>6</v>
          </cell>
          <cell r="L27">
            <v>13.5</v>
          </cell>
          <cell r="M27">
            <v>1650</v>
          </cell>
          <cell r="N27">
            <v>1030</v>
          </cell>
          <cell r="O27">
            <v>1690</v>
          </cell>
          <cell r="P27">
            <v>1010</v>
          </cell>
        </row>
        <row r="28">
          <cell r="G28" t="str">
            <v>EVA TK5</v>
          </cell>
          <cell r="H28" t="str">
            <v>EVA TK</v>
          </cell>
          <cell r="I28">
            <v>5</v>
          </cell>
          <cell r="J28">
            <v>16</v>
          </cell>
          <cell r="K28">
            <v>4</v>
          </cell>
          <cell r="L28">
            <v>11</v>
          </cell>
          <cell r="M28">
            <v>1650</v>
          </cell>
          <cell r="N28">
            <v>1030</v>
          </cell>
          <cell r="O28">
            <v>1690</v>
          </cell>
          <cell r="P28">
            <v>1010</v>
          </cell>
        </row>
        <row r="29">
          <cell r="G29" t="str">
            <v>EVA TK5,5</v>
          </cell>
          <cell r="H29" t="str">
            <v>EVA TK</v>
          </cell>
          <cell r="I29">
            <v>5.5</v>
          </cell>
          <cell r="J29">
            <v>16</v>
          </cell>
          <cell r="K29">
            <v>4</v>
          </cell>
          <cell r="L29">
            <v>11</v>
          </cell>
          <cell r="M29">
            <v>1650</v>
          </cell>
          <cell r="N29">
            <v>1030</v>
          </cell>
          <cell r="O29">
            <v>1690</v>
          </cell>
          <cell r="P29">
            <v>1010</v>
          </cell>
        </row>
        <row r="30">
          <cell r="G30" t="str">
            <v>EVA TK6</v>
          </cell>
          <cell r="H30" t="str">
            <v>EVA TK</v>
          </cell>
          <cell r="I30">
            <v>6</v>
          </cell>
          <cell r="J30">
            <v>18</v>
          </cell>
          <cell r="K30">
            <v>4</v>
          </cell>
          <cell r="L30">
            <v>13.5</v>
          </cell>
          <cell r="M30">
            <v>1650</v>
          </cell>
          <cell r="N30">
            <v>1030</v>
          </cell>
          <cell r="O30">
            <v>1690</v>
          </cell>
          <cell r="P30">
            <v>1010</v>
          </cell>
        </row>
        <row r="31">
          <cell r="G31" t="str">
            <v>EVA TK7</v>
          </cell>
          <cell r="H31" t="str">
            <v>EVA TK</v>
          </cell>
          <cell r="I31">
            <v>7</v>
          </cell>
          <cell r="J31">
            <v>16</v>
          </cell>
          <cell r="K31">
            <v>3</v>
          </cell>
          <cell r="L31">
            <v>11</v>
          </cell>
          <cell r="M31">
            <v>1650</v>
          </cell>
          <cell r="N31">
            <v>1030</v>
          </cell>
          <cell r="O31">
            <v>1690</v>
          </cell>
          <cell r="P31">
            <v>1010</v>
          </cell>
        </row>
        <row r="32">
          <cell r="G32" t="str">
            <v>EVA TK8</v>
          </cell>
          <cell r="H32" t="str">
            <v>EVA TK</v>
          </cell>
          <cell r="I32">
            <v>8</v>
          </cell>
          <cell r="J32">
            <v>18</v>
          </cell>
          <cell r="K32">
            <v>3</v>
          </cell>
          <cell r="L32">
            <v>13.5</v>
          </cell>
          <cell r="M32">
            <v>1650</v>
          </cell>
          <cell r="N32">
            <v>1030</v>
          </cell>
          <cell r="O32">
            <v>1690</v>
          </cell>
          <cell r="P32">
            <v>1010</v>
          </cell>
        </row>
        <row r="33">
          <cell r="G33" t="str">
            <v>EVA TK9</v>
          </cell>
          <cell r="H33" t="str">
            <v>EVA TK</v>
          </cell>
          <cell r="I33">
            <v>9</v>
          </cell>
          <cell r="J33">
            <v>18</v>
          </cell>
          <cell r="K33">
            <v>3</v>
          </cell>
          <cell r="L33">
            <v>13.5</v>
          </cell>
          <cell r="M33">
            <v>1650</v>
          </cell>
          <cell r="N33">
            <v>1030</v>
          </cell>
          <cell r="O33">
            <v>1690</v>
          </cell>
          <cell r="P33">
            <v>1010</v>
          </cell>
        </row>
        <row r="34">
          <cell r="G34" t="str">
            <v>EVA TK10</v>
          </cell>
          <cell r="H34" t="str">
            <v>EVA TK</v>
          </cell>
          <cell r="I34">
            <v>10</v>
          </cell>
          <cell r="J34">
            <v>16</v>
          </cell>
          <cell r="K34">
            <v>2</v>
          </cell>
          <cell r="L34">
            <v>11</v>
          </cell>
          <cell r="M34">
            <v>1650</v>
          </cell>
          <cell r="N34">
            <v>1030</v>
          </cell>
          <cell r="O34">
            <v>1690</v>
          </cell>
          <cell r="P34">
            <v>1010</v>
          </cell>
        </row>
        <row r="35">
          <cell r="G35" t="str">
            <v>EVA REU4</v>
          </cell>
          <cell r="H35" t="str">
            <v>EVA REU</v>
          </cell>
          <cell r="I35">
            <v>4</v>
          </cell>
          <cell r="J35">
            <v>16</v>
          </cell>
          <cell r="K35">
            <v>6</v>
          </cell>
          <cell r="L35">
            <v>10</v>
          </cell>
          <cell r="M35">
            <v>1680</v>
          </cell>
          <cell r="N35">
            <v>980</v>
          </cell>
          <cell r="O35">
            <v>1660</v>
          </cell>
          <cell r="P35">
            <v>960</v>
          </cell>
        </row>
        <row r="36">
          <cell r="G36" t="str">
            <v>EVA REU5</v>
          </cell>
          <cell r="H36" t="str">
            <v>EVA REU</v>
          </cell>
          <cell r="I36">
            <v>5</v>
          </cell>
          <cell r="J36">
            <v>16</v>
          </cell>
          <cell r="K36">
            <v>5</v>
          </cell>
          <cell r="L36">
            <v>10</v>
          </cell>
          <cell r="M36">
            <v>1680</v>
          </cell>
          <cell r="N36">
            <v>980</v>
          </cell>
          <cell r="O36">
            <v>1660</v>
          </cell>
          <cell r="P36">
            <v>960</v>
          </cell>
        </row>
        <row r="37">
          <cell r="G37" t="str">
            <v>EVA REU6</v>
          </cell>
          <cell r="H37" t="str">
            <v>EVA REU</v>
          </cell>
          <cell r="I37">
            <v>6</v>
          </cell>
          <cell r="J37">
            <v>16</v>
          </cell>
          <cell r="K37">
            <v>4</v>
          </cell>
          <cell r="L37">
            <v>10</v>
          </cell>
          <cell r="M37">
            <v>1680</v>
          </cell>
          <cell r="N37">
            <v>980</v>
          </cell>
          <cell r="O37">
            <v>1660</v>
          </cell>
          <cell r="P37">
            <v>960</v>
          </cell>
        </row>
        <row r="38">
          <cell r="G38" t="str">
            <v>EVA REU12</v>
          </cell>
          <cell r="H38" t="str">
            <v>EVA REU</v>
          </cell>
          <cell r="I38">
            <v>12</v>
          </cell>
          <cell r="J38">
            <v>12</v>
          </cell>
          <cell r="K38">
            <v>2</v>
          </cell>
          <cell r="L38">
            <v>6.8</v>
          </cell>
          <cell r="M38">
            <v>1460</v>
          </cell>
          <cell r="N38">
            <v>950</v>
          </cell>
          <cell r="O38">
            <v>1440</v>
          </cell>
          <cell r="P38">
            <v>930</v>
          </cell>
        </row>
        <row r="39">
          <cell r="G39" t="str">
            <v>EVA GR2</v>
          </cell>
          <cell r="H39" t="str">
            <v>EVA GR</v>
          </cell>
          <cell r="I39">
            <v>2</v>
          </cell>
          <cell r="J39">
            <v>10.199999999999999</v>
          </cell>
          <cell r="K39">
            <v>9</v>
          </cell>
          <cell r="L39">
            <v>5</v>
          </cell>
          <cell r="M39">
            <v>1600</v>
          </cell>
          <cell r="N39">
            <v>1300</v>
          </cell>
          <cell r="O39">
            <v>1600</v>
          </cell>
          <cell r="P39">
            <v>1300</v>
          </cell>
        </row>
        <row r="40">
          <cell r="G40" t="str">
            <v>EVA ME1,8</v>
          </cell>
          <cell r="H40" t="str">
            <v>EVA ME</v>
          </cell>
          <cell r="I40">
            <v>1.8</v>
          </cell>
          <cell r="J40">
            <v>18</v>
          </cell>
          <cell r="K40">
            <v>16</v>
          </cell>
          <cell r="L40">
            <v>12.2</v>
          </cell>
          <cell r="M40">
            <v>168</v>
          </cell>
          <cell r="N40">
            <v>1050</v>
          </cell>
          <cell r="O40">
            <v>1660</v>
          </cell>
          <cell r="P40">
            <v>1030</v>
          </cell>
        </row>
        <row r="41">
          <cell r="G41" t="str">
            <v>EVA ME6</v>
          </cell>
          <cell r="H41" t="str">
            <v>EVA ME</v>
          </cell>
          <cell r="I41">
            <v>6</v>
          </cell>
          <cell r="J41">
            <v>18</v>
          </cell>
          <cell r="K41">
            <v>5</v>
          </cell>
          <cell r="L41">
            <v>12.2</v>
          </cell>
          <cell r="M41">
            <v>168</v>
          </cell>
          <cell r="N41">
            <v>1050</v>
          </cell>
          <cell r="O41">
            <v>1660</v>
          </cell>
          <cell r="P41">
            <v>1030</v>
          </cell>
        </row>
        <row r="42">
          <cell r="G42" t="str">
            <v>EVA ME8</v>
          </cell>
          <cell r="H42" t="str">
            <v>EVA ME</v>
          </cell>
          <cell r="I42">
            <v>8</v>
          </cell>
          <cell r="J42">
            <v>16</v>
          </cell>
          <cell r="K42">
            <v>3</v>
          </cell>
          <cell r="L42">
            <v>10.8</v>
          </cell>
          <cell r="M42">
            <v>168</v>
          </cell>
          <cell r="N42">
            <v>1050</v>
          </cell>
          <cell r="O42">
            <v>1660</v>
          </cell>
          <cell r="P42">
            <v>1030</v>
          </cell>
        </row>
        <row r="43">
          <cell r="G43" t="str">
            <v>EVA ME10,5</v>
          </cell>
          <cell r="H43" t="str">
            <v>EVA ME</v>
          </cell>
          <cell r="I43">
            <v>10.5</v>
          </cell>
          <cell r="J43">
            <v>16</v>
          </cell>
          <cell r="K43">
            <v>2</v>
          </cell>
          <cell r="L43">
            <v>10.8</v>
          </cell>
          <cell r="M43">
            <v>168</v>
          </cell>
          <cell r="N43">
            <v>1050</v>
          </cell>
          <cell r="O43">
            <v>1660</v>
          </cell>
          <cell r="P43">
            <v>1030</v>
          </cell>
        </row>
        <row r="44">
          <cell r="G44" t="str">
            <v>EVA ME20</v>
          </cell>
          <cell r="H44" t="str">
            <v>EVA ME</v>
          </cell>
          <cell r="I44">
            <v>20</v>
          </cell>
          <cell r="J44">
            <v>16</v>
          </cell>
          <cell r="K44">
            <v>1</v>
          </cell>
          <cell r="L44">
            <v>10.8</v>
          </cell>
          <cell r="M44">
            <v>168</v>
          </cell>
          <cell r="N44">
            <v>1050</v>
          </cell>
          <cell r="O44">
            <v>1660</v>
          </cell>
          <cell r="P44">
            <v>1030</v>
          </cell>
        </row>
        <row r="45">
          <cell r="G45" t="str">
            <v>EVA ME24</v>
          </cell>
          <cell r="H45" t="str">
            <v>EVA ME</v>
          </cell>
          <cell r="I45">
            <v>24</v>
          </cell>
          <cell r="J45">
            <v>16</v>
          </cell>
          <cell r="K45">
            <v>1</v>
          </cell>
          <cell r="L45">
            <v>10.8</v>
          </cell>
          <cell r="M45">
            <v>168</v>
          </cell>
          <cell r="N45">
            <v>1050</v>
          </cell>
          <cell r="O45">
            <v>1660</v>
          </cell>
          <cell r="P45">
            <v>1030</v>
          </cell>
        </row>
        <row r="46">
          <cell r="G46" t="str">
            <v>EVA ME30</v>
          </cell>
          <cell r="H46" t="str">
            <v>EVA ME</v>
          </cell>
          <cell r="I46">
            <v>30</v>
          </cell>
          <cell r="J46">
            <v>18</v>
          </cell>
          <cell r="K46">
            <v>1</v>
          </cell>
          <cell r="L46">
            <v>12.2</v>
          </cell>
          <cell r="M46">
            <v>168</v>
          </cell>
          <cell r="N46">
            <v>1050</v>
          </cell>
          <cell r="O46">
            <v>1660</v>
          </cell>
          <cell r="P46">
            <v>1030</v>
          </cell>
        </row>
        <row r="47">
          <cell r="G47" t="str">
            <v>EVA PEB11</v>
          </cell>
          <cell r="H47" t="str">
            <v>EVA PEB</v>
          </cell>
          <cell r="I47">
            <v>11</v>
          </cell>
          <cell r="J47">
            <v>16</v>
          </cell>
          <cell r="K47">
            <v>2</v>
          </cell>
          <cell r="L47">
            <v>10.8</v>
          </cell>
          <cell r="M47">
            <v>1740</v>
          </cell>
          <cell r="N47">
            <v>1060</v>
          </cell>
          <cell r="O47">
            <v>1720</v>
          </cell>
          <cell r="P47">
            <v>1040</v>
          </cell>
        </row>
      </sheetData>
      <sheetData sheetId="2" refreshError="1"/>
      <sheetData sheetId="3" refreshError="1"/>
      <sheetData sheetId="4" refreshError="1"/>
      <sheetData sheetId="5" refreshError="1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>
        <row r="4">
          <cell r="B4" t="str">
            <v>39510A</v>
          </cell>
          <cell r="AP4" t="str">
            <v>MELISSA X BEND AD</v>
          </cell>
          <cell r="HR4">
            <v>46174</v>
          </cell>
          <cell r="NV4" t="str">
            <v>Escala</v>
          </cell>
        </row>
      </sheetData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_D"/>
      <sheetName val="Página Central"/>
      <sheetName val="Rosto"/>
      <sheetName val="Filtro"/>
      <sheetName val="Classi"/>
      <sheetName val="Dados1"/>
      <sheetName val="Dados2"/>
      <sheetName val="Dados3"/>
      <sheetName val="IMPRESSÃO"/>
      <sheetName val="GÁSP INT E EXT TIRA TRAS"/>
      <sheetName val="GÁSPEA 2 EXTERNA"/>
      <sheetName val="TRASEIRO 1 EXTERNO"/>
      <sheetName val="Dados4"/>
      <sheetName val="Dados5"/>
      <sheetName val="Dados6"/>
      <sheetName val="Dados7"/>
      <sheetName val="Dados8"/>
      <sheetName val="Dados9"/>
      <sheetName val="Dados10"/>
      <sheetName val="Dados11"/>
      <sheetName val="ListaMateriais"/>
      <sheetName val="SCA_-_Sistema_de_Corte_Automati"/>
    </sheetNames>
    <definedNames>
      <definedName name="imprimir"/>
      <definedName name="Módulo16.VOLTAR"/>
      <definedName name="PLAN18.Pesquisar_PQ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_D"/>
      <sheetName val="Página Central"/>
      <sheetName val="Rosto"/>
      <sheetName val="Filtro"/>
      <sheetName val="Classi"/>
      <sheetName val="Dados1"/>
      <sheetName val="Dados2"/>
      <sheetName val="Dados3"/>
      <sheetName val="IMPRESSÃO"/>
      <sheetName val="GÁSP INT E EXT TIRA TRAS"/>
      <sheetName val="GÁSPEA 2 EXTERNA"/>
      <sheetName val="TRASEIRO 1 EXTERNO"/>
      <sheetName val="Dados4"/>
      <sheetName val="Dados5"/>
      <sheetName val="Dados6"/>
      <sheetName val="Dados7"/>
      <sheetName val="Dados8"/>
      <sheetName val="Dados9"/>
      <sheetName val="Dados10"/>
      <sheetName val="Dados11"/>
      <sheetName val="ListaMateriais"/>
      <sheetName val="SCA_-_Sistema_de_Corte_Automati"/>
    </sheetNames>
    <definedNames>
      <definedName name="imprimir"/>
      <definedName name="Módulo16.VOLTAR"/>
      <definedName name="PLAN18.Pesquisar_PQ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_D"/>
      <sheetName val="Página Central"/>
      <sheetName val="Rosto"/>
      <sheetName val="Filtro"/>
      <sheetName val="Classi"/>
      <sheetName val="Dados1"/>
      <sheetName val="Dados2"/>
      <sheetName val="Dados3"/>
      <sheetName val="IMPRESSÃO"/>
      <sheetName val="GÁSP INT E EXT TIRA TRAS"/>
      <sheetName val="GÁSPEA 2 EXTERNA"/>
      <sheetName val="TRASEIRO 1 EXTERNO"/>
      <sheetName val="Dados4"/>
      <sheetName val="Dados5"/>
      <sheetName val="Dados6"/>
      <sheetName val="Dados7"/>
      <sheetName val="Dados8"/>
      <sheetName val="Dados9"/>
      <sheetName val="Dados10"/>
      <sheetName val="Dados11"/>
      <sheetName val="ListaMateriais"/>
      <sheetName val="SCA_-_Sistema_de_Corte_Automati"/>
    </sheetNames>
    <definedNames>
      <definedName name="imprimir"/>
      <definedName name="Módulo16.VOLTAR"/>
      <definedName name="PLAN18.Pesquisar_PQ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_D"/>
      <sheetName val="Página Central"/>
      <sheetName val="Rosto"/>
      <sheetName val="Filtro"/>
      <sheetName val="Classi"/>
      <sheetName val="Dados1"/>
      <sheetName val="Dados2"/>
      <sheetName val="Dados3"/>
      <sheetName val="IMPRESSÃO"/>
      <sheetName val="GÁSP INT E EXT TIRA TRAS"/>
      <sheetName val="GÁSPEA 2 EXTERNA"/>
      <sheetName val="TRASEIRO 1 EXTERNO"/>
      <sheetName val="Dados4"/>
      <sheetName val="Dados5"/>
      <sheetName val="Dados6"/>
      <sheetName val="Dados7"/>
      <sheetName val="Dados8"/>
      <sheetName val="Dados9"/>
      <sheetName val="Dados10"/>
      <sheetName val="Dados11"/>
      <sheetName val="ListaMateriais"/>
      <sheetName val="SCA_-_Sistema_de_Corte_Automati"/>
    </sheetNames>
    <definedNames>
      <definedName name="imprimir"/>
      <definedName name="Módulo16.VOLTAR"/>
      <definedName name="PLAN18.Pesquisar_PQ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Aprov.Materiais Escala"/>
      <sheetName val="VELCRO 01 E 02 GANCHO"/>
      <sheetName val="VELCRO 01 E 02 ARGOLA"/>
      <sheetName val="GASPEA "/>
    </sheetNames>
    <sheetDataSet>
      <sheetData sheetId="0" refreshError="1"/>
      <sheetData sheetId="1"/>
      <sheetData sheetId="2"/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b F5"/>
      <sheetName val="modelo"/>
      <sheetName val="unid 5"/>
      <sheetName val="CEPO"/>
      <sheetName val="Preparação"/>
      <sheetName val="Costura (anterior)"/>
      <sheetName val="costura (Atual)"/>
      <sheetName val="Ficha_Técnica"/>
      <sheetName val="layout "/>
      <sheetName val="Check list"/>
      <sheetName val="Try out"/>
      <sheetName val="GBO PRE"/>
      <sheetName val="Legenda (2)"/>
      <sheetName val="Legenda"/>
      <sheetName val="GBO PRE (2)"/>
      <sheetName val="COSTURA"/>
      <sheetName val="COSTURA (SIMULADO)"/>
      <sheetName val="GBO"/>
      <sheetName val="GBO (2)"/>
      <sheetName val="Ficha_Técnica(cél 01)"/>
      <sheetName val="Unid 05 (Cel. 01)"/>
      <sheetName val="LAY OUT (ATUAL)"/>
      <sheetName val="LAY OUT cél1(ant.)"/>
      <sheetName val="costura (2)"/>
      <sheetName val="Sob_F51"/>
      <sheetName val="unid_51"/>
      <sheetName val="Costura_(anterior)1"/>
      <sheetName val="costura_(Atual)1"/>
      <sheetName val="layout_1"/>
      <sheetName val="Check_list1"/>
      <sheetName val="Try_out1"/>
      <sheetName val="GBO_PRE1"/>
      <sheetName val="Legenda_(2)1"/>
      <sheetName val="GBO_PRE_(2)1"/>
      <sheetName val="COSTURA_(SIMULADO)1"/>
      <sheetName val="GBO_(2)1"/>
      <sheetName val="Ficha_Técnica(cél_01)1"/>
      <sheetName val="Unid_05_(Cel__01)1"/>
      <sheetName val="LAY_OUT_(ATUAL)1"/>
      <sheetName val="LAY_OUT_cél1(ant_)1"/>
      <sheetName val="costura_(2)1"/>
      <sheetName val="Sob_F5"/>
      <sheetName val="unid_5"/>
      <sheetName val="Costura_(anterior)"/>
      <sheetName val="costura_(Atual)"/>
      <sheetName val="layout_"/>
      <sheetName val="Check_list"/>
      <sheetName val="Try_out"/>
      <sheetName val="GBO_PRE"/>
      <sheetName val="Legenda_(2)"/>
      <sheetName val="GBO_PRE_(2)"/>
      <sheetName val="COSTURA_(SIMULADO)"/>
      <sheetName val="GBO_(2)"/>
      <sheetName val="Ficha_Técnica(cél_01)"/>
      <sheetName val="Unid_05_(Cel__01)"/>
      <sheetName val="LAY_OUT_(ATUAL)"/>
      <sheetName val="LAY_OUT_cél1(ant_)"/>
      <sheetName val="costura_(2)"/>
      <sheetName val="Distribuição_MAIO__2_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  <sheetData sheetId="37" refreshError="1"/>
      <sheetData sheetId="38" refreshError="1"/>
      <sheetData sheetId="39" refreshError="1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Aprov.Materiais Escala"/>
      <sheetName val="ETIQUETA"/>
      <sheetName val="VELCRO 01 GANCHO"/>
      <sheetName val="VELCRO 01 ARGOLA"/>
      <sheetName val="VELCRO 02 GANCHO "/>
      <sheetName val="VELCRO 02 ARGOLA"/>
      <sheetName val="GÁSPEA EXTERNA"/>
      <sheetName val="GÁSPEA INTERN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TAS"/>
      <sheetName val="MPS"/>
      <sheetName val="PLANO"/>
    </sheetNames>
    <sheetDataSet>
      <sheetData sheetId="0"/>
      <sheetData sheetId="1">
        <row r="2">
          <cell r="L2" t="str">
            <v>EST.</v>
          </cell>
          <cell r="Z2" t="str">
            <v>EST.</v>
          </cell>
        </row>
        <row r="3">
          <cell r="K3" t="str">
            <v>COST</v>
          </cell>
          <cell r="L3" t="str">
            <v>PROJ.</v>
          </cell>
          <cell r="M3" t="str">
            <v xml:space="preserve">MONT </v>
          </cell>
          <cell r="S3" t="str">
            <v xml:space="preserve">MONT </v>
          </cell>
          <cell r="T3" t="str">
            <v>COTA</v>
          </cell>
          <cell r="Y3" t="str">
            <v>COTA</v>
          </cell>
          <cell r="Z3" t="str">
            <v>PROJ.</v>
          </cell>
        </row>
        <row r="4">
          <cell r="L4" t="str">
            <v>CAB.</v>
          </cell>
          <cell r="Z4" t="str">
            <v>ACAB.</v>
          </cell>
        </row>
        <row r="5">
          <cell r="K5" t="str">
            <v>COSTURA</v>
          </cell>
          <cell r="L5" t="str">
            <v>EST. PROJ. CAB.</v>
          </cell>
          <cell r="M5" t="str">
            <v>MONTAGEM</v>
          </cell>
          <cell r="S5" t="str">
            <v>MONTAGEM</v>
          </cell>
          <cell r="T5" t="str">
            <v>COTA</v>
          </cell>
          <cell r="Y5" t="str">
            <v>FORECAST</v>
          </cell>
          <cell r="Z5" t="str">
            <v>EST.  PROJ.</v>
          </cell>
        </row>
        <row r="6">
          <cell r="L6">
            <v>-4608</v>
          </cell>
          <cell r="M6">
            <v>4608</v>
          </cell>
          <cell r="T6">
            <v>0</v>
          </cell>
          <cell r="Y6">
            <v>0</v>
          </cell>
        </row>
        <row r="7">
          <cell r="L7">
            <v>-2688</v>
          </cell>
          <cell r="M7">
            <v>2688</v>
          </cell>
          <cell r="T7">
            <v>0</v>
          </cell>
          <cell r="Y7">
            <v>0</v>
          </cell>
        </row>
        <row r="8">
          <cell r="L8">
            <v>-4032</v>
          </cell>
          <cell r="M8">
            <v>4032</v>
          </cell>
          <cell r="T8">
            <v>0</v>
          </cell>
          <cell r="Y8">
            <v>0</v>
          </cell>
        </row>
        <row r="9">
          <cell r="L9">
            <v>-4032</v>
          </cell>
          <cell r="M9">
            <v>4032</v>
          </cell>
          <cell r="T9">
            <v>0</v>
          </cell>
          <cell r="Y9">
            <v>0</v>
          </cell>
        </row>
        <row r="10">
          <cell r="L10">
            <v>-768</v>
          </cell>
          <cell r="M10">
            <v>768</v>
          </cell>
          <cell r="T10">
            <v>0</v>
          </cell>
          <cell r="Y10">
            <v>0</v>
          </cell>
        </row>
        <row r="11">
          <cell r="L11">
            <v>-3072</v>
          </cell>
          <cell r="M11">
            <v>3072</v>
          </cell>
          <cell r="T11">
            <v>0</v>
          </cell>
          <cell r="Y11">
            <v>0</v>
          </cell>
        </row>
        <row r="12">
          <cell r="K12">
            <v>0</v>
          </cell>
          <cell r="L12">
            <v>-19200</v>
          </cell>
          <cell r="M12">
            <v>19200</v>
          </cell>
          <cell r="S12">
            <v>0</v>
          </cell>
          <cell r="T12">
            <v>0</v>
          </cell>
          <cell r="Y12">
            <v>0</v>
          </cell>
          <cell r="Z12">
            <v>0</v>
          </cell>
        </row>
        <row r="13">
          <cell r="L13">
            <v>-3200</v>
          </cell>
          <cell r="M13">
            <v>3200</v>
          </cell>
          <cell r="S13">
            <v>5800</v>
          </cell>
          <cell r="T13">
            <v>4500</v>
          </cell>
          <cell r="Y13">
            <v>6500</v>
          </cell>
          <cell r="Z13">
            <v>2000</v>
          </cell>
        </row>
        <row r="14">
          <cell r="L14">
            <v>-2200</v>
          </cell>
          <cell r="M14">
            <v>2200</v>
          </cell>
          <cell r="S14">
            <v>3300</v>
          </cell>
          <cell r="T14">
            <v>2700</v>
          </cell>
          <cell r="Y14">
            <v>3900</v>
          </cell>
          <cell r="Z14">
            <v>1600</v>
          </cell>
        </row>
        <row r="15">
          <cell r="L15">
            <v>-2700</v>
          </cell>
          <cell r="M15">
            <v>2700</v>
          </cell>
          <cell r="S15">
            <v>4500</v>
          </cell>
          <cell r="T15">
            <v>3600</v>
          </cell>
          <cell r="Y15">
            <v>5200</v>
          </cell>
          <cell r="Z15">
            <v>1700</v>
          </cell>
        </row>
        <row r="16">
          <cell r="L16">
            <v>-2700</v>
          </cell>
          <cell r="M16">
            <v>2700</v>
          </cell>
          <cell r="S16">
            <v>4600</v>
          </cell>
          <cell r="T16">
            <v>3600</v>
          </cell>
          <cell r="Y16">
            <v>5200</v>
          </cell>
          <cell r="Z16">
            <v>1900</v>
          </cell>
        </row>
        <row r="17">
          <cell r="L17">
            <v>-2900</v>
          </cell>
          <cell r="M17">
            <v>2900</v>
          </cell>
          <cell r="S17">
            <v>4300</v>
          </cell>
          <cell r="T17">
            <v>3600</v>
          </cell>
          <cell r="Y17">
            <v>5200</v>
          </cell>
          <cell r="Z17">
            <v>1800</v>
          </cell>
        </row>
        <row r="18">
          <cell r="K18">
            <v>0</v>
          </cell>
          <cell r="L18">
            <v>-13700</v>
          </cell>
          <cell r="M18">
            <v>13700</v>
          </cell>
          <cell r="S18">
            <v>22500</v>
          </cell>
          <cell r="T18">
            <v>18000</v>
          </cell>
          <cell r="Y18">
            <v>26000</v>
          </cell>
          <cell r="Z18">
            <v>9000</v>
          </cell>
        </row>
        <row r="19">
          <cell r="L19">
            <v>0</v>
          </cell>
          <cell r="S19">
            <v>750</v>
          </cell>
          <cell r="T19">
            <v>450</v>
          </cell>
          <cell r="Y19">
            <v>360</v>
          </cell>
          <cell r="Z19">
            <v>400</v>
          </cell>
        </row>
        <row r="20">
          <cell r="L20">
            <v>0</v>
          </cell>
          <cell r="S20">
            <v>750</v>
          </cell>
          <cell r="T20">
            <v>450</v>
          </cell>
          <cell r="Y20">
            <v>360</v>
          </cell>
          <cell r="Z20">
            <v>400</v>
          </cell>
        </row>
        <row r="21">
          <cell r="L21">
            <v>0</v>
          </cell>
          <cell r="S21">
            <v>1000</v>
          </cell>
          <cell r="T21">
            <v>600</v>
          </cell>
          <cell r="Y21">
            <v>480</v>
          </cell>
          <cell r="Z21">
            <v>500</v>
          </cell>
        </row>
        <row r="22">
          <cell r="K22">
            <v>0</v>
          </cell>
          <cell r="L22">
            <v>0</v>
          </cell>
          <cell r="M22">
            <v>0</v>
          </cell>
          <cell r="S22">
            <v>2500</v>
          </cell>
          <cell r="T22">
            <v>1500</v>
          </cell>
          <cell r="Y22">
            <v>1200</v>
          </cell>
          <cell r="Z22">
            <v>1300</v>
          </cell>
        </row>
        <row r="23">
          <cell r="L23">
            <v>0</v>
          </cell>
          <cell r="T23">
            <v>0</v>
          </cell>
          <cell r="Y23">
            <v>0</v>
          </cell>
        </row>
        <row r="24">
          <cell r="L24">
            <v>0</v>
          </cell>
          <cell r="T24">
            <v>0</v>
          </cell>
          <cell r="Y24">
            <v>0</v>
          </cell>
        </row>
        <row r="25">
          <cell r="L25">
            <v>0</v>
          </cell>
          <cell r="T25">
            <v>0</v>
          </cell>
          <cell r="Y25">
            <v>0</v>
          </cell>
        </row>
        <row r="26">
          <cell r="K26">
            <v>0</v>
          </cell>
          <cell r="L26">
            <v>0</v>
          </cell>
          <cell r="M26">
            <v>0</v>
          </cell>
          <cell r="S26">
            <v>0</v>
          </cell>
          <cell r="T26">
            <v>0</v>
          </cell>
          <cell r="Y26">
            <v>0</v>
          </cell>
          <cell r="Z26">
            <v>0</v>
          </cell>
        </row>
        <row r="27">
          <cell r="L27">
            <v>0</v>
          </cell>
          <cell r="S27">
            <v>2200</v>
          </cell>
          <cell r="T27">
            <v>1600</v>
          </cell>
          <cell r="Y27">
            <v>3600</v>
          </cell>
          <cell r="Z27">
            <v>800</v>
          </cell>
        </row>
        <row r="28">
          <cell r="L28">
            <v>0</v>
          </cell>
          <cell r="S28">
            <v>4350</v>
          </cell>
          <cell r="T28">
            <v>3600</v>
          </cell>
          <cell r="Y28">
            <v>8400</v>
          </cell>
          <cell r="Z28">
            <v>1050</v>
          </cell>
        </row>
        <row r="29">
          <cell r="L29">
            <v>0</v>
          </cell>
          <cell r="S29">
            <v>3450</v>
          </cell>
          <cell r="T29">
            <v>2800</v>
          </cell>
          <cell r="Y29">
            <v>0</v>
          </cell>
          <cell r="Z29">
            <v>650</v>
          </cell>
        </row>
        <row r="30">
          <cell r="K30">
            <v>0</v>
          </cell>
          <cell r="L30">
            <v>0</v>
          </cell>
          <cell r="M30">
            <v>0</v>
          </cell>
          <cell r="S30">
            <v>10000</v>
          </cell>
          <cell r="T30">
            <v>8000</v>
          </cell>
          <cell r="Y30">
            <v>12000</v>
          </cell>
          <cell r="Z30">
            <v>2500</v>
          </cell>
        </row>
        <row r="31">
          <cell r="L31">
            <v>-576</v>
          </cell>
          <cell r="M31">
            <v>576</v>
          </cell>
          <cell r="T31">
            <v>1200</v>
          </cell>
          <cell r="Y31">
            <v>500</v>
          </cell>
          <cell r="Z31">
            <v>476</v>
          </cell>
        </row>
        <row r="32">
          <cell r="K32">
            <v>0</v>
          </cell>
          <cell r="L32">
            <v>-576</v>
          </cell>
          <cell r="M32">
            <v>576</v>
          </cell>
          <cell r="S32">
            <v>0</v>
          </cell>
          <cell r="T32">
            <v>1200</v>
          </cell>
          <cell r="Y32">
            <v>500</v>
          </cell>
          <cell r="Z32">
            <v>476</v>
          </cell>
        </row>
        <row r="33">
          <cell r="L33">
            <v>-268</v>
          </cell>
          <cell r="M33">
            <v>268</v>
          </cell>
          <cell r="S33">
            <v>700</v>
          </cell>
          <cell r="T33">
            <v>800</v>
          </cell>
          <cell r="Y33">
            <v>600</v>
          </cell>
          <cell r="Z33">
            <v>700</v>
          </cell>
        </row>
        <row r="34">
          <cell r="L34">
            <v>-1732</v>
          </cell>
          <cell r="M34">
            <v>1732</v>
          </cell>
          <cell r="S34">
            <v>1100</v>
          </cell>
          <cell r="T34">
            <v>1200</v>
          </cell>
          <cell r="Y34">
            <v>900</v>
          </cell>
          <cell r="Z34">
            <v>980</v>
          </cell>
        </row>
        <row r="35">
          <cell r="K35">
            <v>0</v>
          </cell>
          <cell r="L35">
            <v>-2000</v>
          </cell>
          <cell r="M35">
            <v>2000</v>
          </cell>
          <cell r="S35">
            <v>1800</v>
          </cell>
          <cell r="T35">
            <v>2000</v>
          </cell>
          <cell r="Y35">
            <v>1500</v>
          </cell>
          <cell r="Z35">
            <v>1680</v>
          </cell>
        </row>
        <row r="36">
          <cell r="L36">
            <v>-480</v>
          </cell>
          <cell r="M36">
            <v>480</v>
          </cell>
          <cell r="S36">
            <v>768</v>
          </cell>
          <cell r="T36">
            <v>700</v>
          </cell>
          <cell r="Y36">
            <v>525</v>
          </cell>
          <cell r="Z36">
            <v>1107</v>
          </cell>
        </row>
        <row r="37">
          <cell r="L37">
            <v>-2020</v>
          </cell>
          <cell r="M37">
            <v>2020</v>
          </cell>
          <cell r="S37">
            <v>1232</v>
          </cell>
          <cell r="T37">
            <v>1300</v>
          </cell>
          <cell r="Y37">
            <v>975</v>
          </cell>
          <cell r="Z37">
            <v>843</v>
          </cell>
        </row>
        <row r="38">
          <cell r="K38">
            <v>0</v>
          </cell>
          <cell r="L38">
            <v>-2500</v>
          </cell>
          <cell r="M38">
            <v>2500</v>
          </cell>
          <cell r="S38">
            <v>2000</v>
          </cell>
          <cell r="T38">
            <v>2000</v>
          </cell>
          <cell r="Y38">
            <v>1500</v>
          </cell>
          <cell r="Z38">
            <v>1950</v>
          </cell>
        </row>
        <row r="39">
          <cell r="L39">
            <v>-864</v>
          </cell>
          <cell r="M39">
            <v>864</v>
          </cell>
          <cell r="S39">
            <v>384</v>
          </cell>
        </row>
        <row r="40">
          <cell r="L40">
            <v>0</v>
          </cell>
        </row>
        <row r="41">
          <cell r="L41">
            <v>-864</v>
          </cell>
          <cell r="M41">
            <v>864</v>
          </cell>
          <cell r="S41">
            <v>384</v>
          </cell>
        </row>
        <row r="42">
          <cell r="K42">
            <v>0</v>
          </cell>
          <cell r="L42">
            <v>-1728</v>
          </cell>
          <cell r="M42">
            <v>1728</v>
          </cell>
          <cell r="S42">
            <v>768</v>
          </cell>
          <cell r="T42">
            <v>0</v>
          </cell>
          <cell r="Y42">
            <v>0</v>
          </cell>
          <cell r="Z42">
            <v>0</v>
          </cell>
        </row>
        <row r="43">
          <cell r="L43">
            <v>0</v>
          </cell>
          <cell r="T43">
            <v>0</v>
          </cell>
          <cell r="Y43">
            <v>0</v>
          </cell>
        </row>
        <row r="44">
          <cell r="L44">
            <v>0</v>
          </cell>
          <cell r="T44">
            <v>0</v>
          </cell>
          <cell r="Y44">
            <v>0</v>
          </cell>
        </row>
        <row r="45">
          <cell r="L45">
            <v>0</v>
          </cell>
          <cell r="T45">
            <v>0</v>
          </cell>
          <cell r="Y45">
            <v>0</v>
          </cell>
        </row>
        <row r="46">
          <cell r="L46">
            <v>0</v>
          </cell>
          <cell r="T46">
            <v>0</v>
          </cell>
          <cell r="Y46">
            <v>0</v>
          </cell>
        </row>
        <row r="47">
          <cell r="L47">
            <v>0</v>
          </cell>
          <cell r="T47">
            <v>0</v>
          </cell>
          <cell r="Y47">
            <v>0</v>
          </cell>
        </row>
        <row r="48">
          <cell r="L48">
            <v>0</v>
          </cell>
          <cell r="T48">
            <v>0</v>
          </cell>
          <cell r="Y48">
            <v>0</v>
          </cell>
        </row>
        <row r="49">
          <cell r="K49">
            <v>0</v>
          </cell>
          <cell r="L49">
            <v>0</v>
          </cell>
          <cell r="M49">
            <v>0</v>
          </cell>
          <cell r="S49">
            <v>0</v>
          </cell>
          <cell r="T49">
            <v>0</v>
          </cell>
          <cell r="Y49">
            <v>0</v>
          </cell>
          <cell r="Z49">
            <v>0</v>
          </cell>
        </row>
        <row r="50">
          <cell r="L50">
            <v>-576</v>
          </cell>
          <cell r="M50">
            <v>576</v>
          </cell>
          <cell r="S50">
            <v>300</v>
          </cell>
          <cell r="T50">
            <v>100</v>
          </cell>
          <cell r="Y50">
            <v>100</v>
          </cell>
          <cell r="Z50">
            <v>468</v>
          </cell>
        </row>
        <row r="51">
          <cell r="L51">
            <v>-1152</v>
          </cell>
          <cell r="M51">
            <v>1152</v>
          </cell>
          <cell r="T51">
            <v>250</v>
          </cell>
          <cell r="Y51">
            <v>250</v>
          </cell>
          <cell r="Z51">
            <v>771</v>
          </cell>
        </row>
        <row r="52">
          <cell r="L52">
            <v>-772</v>
          </cell>
          <cell r="M52">
            <v>772</v>
          </cell>
          <cell r="T52">
            <v>150</v>
          </cell>
          <cell r="Y52">
            <v>150</v>
          </cell>
          <cell r="Z52">
            <v>565</v>
          </cell>
        </row>
        <row r="53">
          <cell r="K53">
            <v>0</v>
          </cell>
          <cell r="L53">
            <v>-2500</v>
          </cell>
          <cell r="M53">
            <v>2500</v>
          </cell>
          <cell r="S53">
            <v>300</v>
          </cell>
          <cell r="T53">
            <v>500</v>
          </cell>
          <cell r="Y53">
            <v>500</v>
          </cell>
          <cell r="Z53">
            <v>1804</v>
          </cell>
        </row>
        <row r="54">
          <cell r="L54">
            <v>0</v>
          </cell>
          <cell r="T54">
            <v>40</v>
          </cell>
          <cell r="Y54">
            <v>40</v>
          </cell>
          <cell r="Z54">
            <v>623</v>
          </cell>
        </row>
        <row r="55">
          <cell r="L55">
            <v>-200</v>
          </cell>
          <cell r="M55">
            <v>200</v>
          </cell>
          <cell r="T55">
            <v>240</v>
          </cell>
          <cell r="Y55">
            <v>240</v>
          </cell>
          <cell r="Z55">
            <v>296</v>
          </cell>
        </row>
        <row r="56">
          <cell r="L56">
            <v>0</v>
          </cell>
          <cell r="T56">
            <v>120</v>
          </cell>
          <cell r="Y56">
            <v>120</v>
          </cell>
          <cell r="Z56">
            <v>217</v>
          </cell>
        </row>
        <row r="57">
          <cell r="K57">
            <v>0</v>
          </cell>
          <cell r="L57">
            <v>-200</v>
          </cell>
          <cell r="M57">
            <v>200</v>
          </cell>
          <cell r="S57">
            <v>0</v>
          </cell>
          <cell r="T57">
            <v>400</v>
          </cell>
          <cell r="Y57">
            <v>400</v>
          </cell>
          <cell r="Z57">
            <v>1136</v>
          </cell>
        </row>
        <row r="58">
          <cell r="L58">
            <v>-52</v>
          </cell>
          <cell r="M58">
            <v>52</v>
          </cell>
          <cell r="S58">
            <v>384</v>
          </cell>
          <cell r="T58">
            <v>320</v>
          </cell>
          <cell r="Y58">
            <v>300</v>
          </cell>
          <cell r="Z58">
            <v>700</v>
          </cell>
        </row>
        <row r="59">
          <cell r="L59">
            <v>-2208</v>
          </cell>
          <cell r="M59">
            <v>2208</v>
          </cell>
          <cell r="S59">
            <v>2518</v>
          </cell>
          <cell r="T59">
            <v>2080</v>
          </cell>
          <cell r="Y59">
            <v>1950</v>
          </cell>
          <cell r="Z59">
            <v>2015</v>
          </cell>
        </row>
        <row r="60">
          <cell r="L60">
            <v>-1440</v>
          </cell>
          <cell r="M60">
            <v>1440</v>
          </cell>
          <cell r="S60">
            <v>1854</v>
          </cell>
          <cell r="T60">
            <v>800</v>
          </cell>
          <cell r="Y60">
            <v>750</v>
          </cell>
          <cell r="Z60">
            <v>1236</v>
          </cell>
        </row>
        <row r="61">
          <cell r="K61">
            <v>0</v>
          </cell>
          <cell r="L61">
            <v>-3700</v>
          </cell>
          <cell r="M61">
            <v>3700</v>
          </cell>
          <cell r="S61">
            <v>4756</v>
          </cell>
          <cell r="T61">
            <v>3200</v>
          </cell>
          <cell r="Y61">
            <v>3000</v>
          </cell>
          <cell r="Z61">
            <v>3951</v>
          </cell>
        </row>
        <row r="62">
          <cell r="L62">
            <v>-1342</v>
          </cell>
          <cell r="M62">
            <v>1342</v>
          </cell>
          <cell r="S62">
            <v>605</v>
          </cell>
          <cell r="T62">
            <v>595</v>
          </cell>
          <cell r="Y62">
            <v>525</v>
          </cell>
          <cell r="Z62">
            <v>605</v>
          </cell>
        </row>
        <row r="63">
          <cell r="L63">
            <v>-1534</v>
          </cell>
          <cell r="M63">
            <v>1534</v>
          </cell>
          <cell r="S63">
            <v>815</v>
          </cell>
          <cell r="T63">
            <v>765</v>
          </cell>
          <cell r="Y63">
            <v>675</v>
          </cell>
          <cell r="Z63">
            <v>680</v>
          </cell>
        </row>
        <row r="64">
          <cell r="L64">
            <v>0</v>
          </cell>
          <cell r="T64">
            <v>0</v>
          </cell>
          <cell r="Y64">
            <v>0</v>
          </cell>
          <cell r="Z64">
            <v>0</v>
          </cell>
        </row>
        <row r="65">
          <cell r="L65">
            <v>-960</v>
          </cell>
          <cell r="M65">
            <v>960</v>
          </cell>
          <cell r="S65">
            <v>280</v>
          </cell>
          <cell r="T65">
            <v>340</v>
          </cell>
          <cell r="Y65">
            <v>300</v>
          </cell>
          <cell r="Z65">
            <v>550</v>
          </cell>
        </row>
        <row r="66">
          <cell r="K66">
            <v>0</v>
          </cell>
          <cell r="L66">
            <v>-3836</v>
          </cell>
          <cell r="M66">
            <v>3836</v>
          </cell>
          <cell r="S66">
            <v>1700</v>
          </cell>
          <cell r="T66">
            <v>1700</v>
          </cell>
          <cell r="Y66">
            <v>1500</v>
          </cell>
          <cell r="Z66">
            <v>1835</v>
          </cell>
        </row>
        <row r="67">
          <cell r="L67">
            <v>-192</v>
          </cell>
          <cell r="M67">
            <v>192</v>
          </cell>
          <cell r="S67">
            <v>600</v>
          </cell>
          <cell r="T67">
            <v>260</v>
          </cell>
          <cell r="Y67">
            <v>260</v>
          </cell>
          <cell r="Z67">
            <v>541</v>
          </cell>
        </row>
        <row r="68">
          <cell r="L68">
            <v>-168</v>
          </cell>
          <cell r="M68">
            <v>168</v>
          </cell>
          <cell r="T68">
            <v>140</v>
          </cell>
          <cell r="Y68">
            <v>140</v>
          </cell>
          <cell r="Z68">
            <v>628</v>
          </cell>
        </row>
        <row r="69">
          <cell r="K69">
            <v>0</v>
          </cell>
          <cell r="L69">
            <v>-360</v>
          </cell>
          <cell r="M69">
            <v>360</v>
          </cell>
          <cell r="S69">
            <v>600</v>
          </cell>
          <cell r="T69">
            <v>400</v>
          </cell>
          <cell r="Y69">
            <v>400</v>
          </cell>
          <cell r="Z69">
            <v>1169</v>
          </cell>
        </row>
        <row r="70">
          <cell r="L70">
            <v>-1056</v>
          </cell>
          <cell r="M70">
            <v>1056</v>
          </cell>
          <cell r="S70">
            <v>2434</v>
          </cell>
          <cell r="T70">
            <v>1500</v>
          </cell>
          <cell r="Y70">
            <v>1650</v>
          </cell>
          <cell r="Z70">
            <v>1200</v>
          </cell>
        </row>
        <row r="71">
          <cell r="L71">
            <v>-512</v>
          </cell>
          <cell r="M71">
            <v>512</v>
          </cell>
          <cell r="S71">
            <v>568</v>
          </cell>
          <cell r="T71">
            <v>1250</v>
          </cell>
          <cell r="Y71">
            <v>1375</v>
          </cell>
          <cell r="Z71">
            <v>999</v>
          </cell>
        </row>
        <row r="72">
          <cell r="L72">
            <v>0</v>
          </cell>
          <cell r="T72">
            <v>250</v>
          </cell>
          <cell r="Y72">
            <v>275</v>
          </cell>
          <cell r="Z72">
            <v>810</v>
          </cell>
        </row>
        <row r="73">
          <cell r="L73">
            <v>-1632</v>
          </cell>
          <cell r="M73">
            <v>1632</v>
          </cell>
          <cell r="S73">
            <v>998</v>
          </cell>
          <cell r="T73">
            <v>2000</v>
          </cell>
          <cell r="Y73">
            <v>2200</v>
          </cell>
          <cell r="Z73">
            <v>1300</v>
          </cell>
        </row>
        <row r="74">
          <cell r="K74">
            <v>0</v>
          </cell>
          <cell r="L74">
            <v>-3200</v>
          </cell>
          <cell r="M74">
            <v>3200</v>
          </cell>
          <cell r="S74">
            <v>4000</v>
          </cell>
          <cell r="T74">
            <v>5000</v>
          </cell>
          <cell r="Y74">
            <v>5500</v>
          </cell>
          <cell r="Z74">
            <v>4309</v>
          </cell>
        </row>
        <row r="75">
          <cell r="L75">
            <v>0</v>
          </cell>
          <cell r="T75">
            <v>300</v>
          </cell>
          <cell r="Y75">
            <v>350</v>
          </cell>
          <cell r="Z75">
            <v>2498</v>
          </cell>
        </row>
        <row r="76">
          <cell r="L76">
            <v>-576</v>
          </cell>
          <cell r="M76">
            <v>576</v>
          </cell>
          <cell r="S76">
            <v>1239</v>
          </cell>
          <cell r="T76">
            <v>900</v>
          </cell>
          <cell r="Y76">
            <v>1050</v>
          </cell>
          <cell r="Z76">
            <v>1150</v>
          </cell>
        </row>
        <row r="77">
          <cell r="L77">
            <v>-2016</v>
          </cell>
          <cell r="M77">
            <v>2016</v>
          </cell>
          <cell r="S77">
            <v>949</v>
          </cell>
          <cell r="T77">
            <v>900</v>
          </cell>
          <cell r="Y77">
            <v>1050</v>
          </cell>
          <cell r="Z77">
            <v>1280</v>
          </cell>
        </row>
        <row r="78">
          <cell r="L78">
            <v>-1408</v>
          </cell>
          <cell r="M78">
            <v>1408</v>
          </cell>
          <cell r="S78">
            <v>812</v>
          </cell>
          <cell r="T78">
            <v>900</v>
          </cell>
          <cell r="Y78">
            <v>1050</v>
          </cell>
          <cell r="Z78">
            <v>1280</v>
          </cell>
        </row>
        <row r="79">
          <cell r="K79">
            <v>0</v>
          </cell>
          <cell r="L79">
            <v>-4000</v>
          </cell>
          <cell r="M79">
            <v>4000</v>
          </cell>
          <cell r="S79">
            <v>3000</v>
          </cell>
          <cell r="T79">
            <v>3000</v>
          </cell>
          <cell r="Y79">
            <v>3500</v>
          </cell>
          <cell r="Z79">
            <v>6208</v>
          </cell>
        </row>
        <row r="80">
          <cell r="L80">
            <v>0</v>
          </cell>
          <cell r="S80">
            <v>1860</v>
          </cell>
          <cell r="T80">
            <v>1250</v>
          </cell>
          <cell r="Y80">
            <v>1375</v>
          </cell>
          <cell r="Z80">
            <v>1244</v>
          </cell>
        </row>
        <row r="81">
          <cell r="L81">
            <v>-2160</v>
          </cell>
          <cell r="M81">
            <v>2160</v>
          </cell>
          <cell r="S81">
            <v>2143</v>
          </cell>
          <cell r="T81">
            <v>2250</v>
          </cell>
          <cell r="Y81">
            <v>2475</v>
          </cell>
          <cell r="Z81">
            <v>1543</v>
          </cell>
        </row>
        <row r="82">
          <cell r="L82">
            <v>-1440</v>
          </cell>
          <cell r="M82">
            <v>1440</v>
          </cell>
          <cell r="S82">
            <v>1209</v>
          </cell>
          <cell r="T82">
            <v>1250</v>
          </cell>
          <cell r="Y82">
            <v>1375</v>
          </cell>
          <cell r="Z82">
            <v>1244</v>
          </cell>
        </row>
        <row r="83">
          <cell r="L83">
            <v>0</v>
          </cell>
          <cell r="T83">
            <v>250</v>
          </cell>
          <cell r="Y83">
            <v>275</v>
          </cell>
          <cell r="Z83">
            <v>1031</v>
          </cell>
        </row>
        <row r="84">
          <cell r="K84">
            <v>0</v>
          </cell>
          <cell r="L84">
            <v>-3600</v>
          </cell>
          <cell r="M84">
            <v>3600</v>
          </cell>
          <cell r="S84">
            <v>5212</v>
          </cell>
          <cell r="T84">
            <v>5000</v>
          </cell>
          <cell r="Y84">
            <v>5500</v>
          </cell>
          <cell r="Z84">
            <v>5062</v>
          </cell>
        </row>
        <row r="85">
          <cell r="K85">
            <v>2112</v>
          </cell>
          <cell r="L85">
            <v>256</v>
          </cell>
          <cell r="M85">
            <v>2000</v>
          </cell>
          <cell r="S85">
            <v>1500</v>
          </cell>
          <cell r="T85">
            <v>1200</v>
          </cell>
          <cell r="Y85">
            <v>1200</v>
          </cell>
        </row>
        <row r="86">
          <cell r="K86">
            <v>2112</v>
          </cell>
          <cell r="L86">
            <v>256</v>
          </cell>
          <cell r="M86">
            <v>2000</v>
          </cell>
          <cell r="S86">
            <v>1500</v>
          </cell>
          <cell r="T86">
            <v>1200</v>
          </cell>
          <cell r="Y86">
            <v>1200</v>
          </cell>
          <cell r="Z86">
            <v>0</v>
          </cell>
        </row>
        <row r="87">
          <cell r="K87">
            <v>816</v>
          </cell>
          <cell r="L87">
            <v>148</v>
          </cell>
          <cell r="M87">
            <v>1100</v>
          </cell>
          <cell r="S87">
            <v>700</v>
          </cell>
          <cell r="T87">
            <v>900</v>
          </cell>
          <cell r="Y87">
            <v>400</v>
          </cell>
        </row>
        <row r="88">
          <cell r="K88">
            <v>768</v>
          </cell>
          <cell r="L88">
            <v>252</v>
          </cell>
          <cell r="M88">
            <v>900</v>
          </cell>
          <cell r="S88">
            <v>250</v>
          </cell>
          <cell r="T88">
            <v>300</v>
          </cell>
          <cell r="Y88">
            <v>300</v>
          </cell>
        </row>
        <row r="89">
          <cell r="K89">
            <v>1584</v>
          </cell>
          <cell r="L89">
            <v>400</v>
          </cell>
          <cell r="M89">
            <v>2000</v>
          </cell>
          <cell r="S89">
            <v>950</v>
          </cell>
          <cell r="T89">
            <v>1200</v>
          </cell>
          <cell r="Y89">
            <v>700</v>
          </cell>
          <cell r="Z89">
            <v>0</v>
          </cell>
        </row>
        <row r="90">
          <cell r="K90">
            <v>816</v>
          </cell>
          <cell r="L90">
            <v>-184</v>
          </cell>
          <cell r="M90">
            <v>1000</v>
          </cell>
          <cell r="S90">
            <v>500</v>
          </cell>
          <cell r="T90">
            <v>500</v>
          </cell>
          <cell r="Y90">
            <v>1050</v>
          </cell>
          <cell r="Z90">
            <v>291</v>
          </cell>
        </row>
        <row r="91">
          <cell r="K91">
            <v>1344</v>
          </cell>
          <cell r="L91">
            <v>1344</v>
          </cell>
          <cell r="T91">
            <v>0</v>
          </cell>
          <cell r="Y91">
            <v>1950</v>
          </cell>
          <cell r="Z91">
            <v>292</v>
          </cell>
        </row>
        <row r="92">
          <cell r="K92">
            <v>2160</v>
          </cell>
          <cell r="L92">
            <v>1160</v>
          </cell>
          <cell r="M92">
            <v>1000</v>
          </cell>
          <cell r="S92">
            <v>500</v>
          </cell>
          <cell r="T92">
            <v>500</v>
          </cell>
          <cell r="Y92">
            <v>3000</v>
          </cell>
          <cell r="Z92">
            <v>583</v>
          </cell>
        </row>
        <row r="93">
          <cell r="K93">
            <v>960</v>
          </cell>
          <cell r="L93">
            <v>310</v>
          </cell>
          <cell r="M93">
            <v>650</v>
          </cell>
          <cell r="S93">
            <v>500</v>
          </cell>
          <cell r="T93">
            <v>500</v>
          </cell>
          <cell r="Y93">
            <v>600</v>
          </cell>
          <cell r="Z93">
            <v>950</v>
          </cell>
        </row>
        <row r="94">
          <cell r="K94">
            <v>1344</v>
          </cell>
          <cell r="L94">
            <v>1392</v>
          </cell>
          <cell r="S94">
            <v>3000</v>
          </cell>
          <cell r="T94">
            <v>1500</v>
          </cell>
          <cell r="Y94">
            <v>2400</v>
          </cell>
          <cell r="Z94">
            <v>132</v>
          </cell>
        </row>
        <row r="95">
          <cell r="K95">
            <v>2304</v>
          </cell>
          <cell r="L95">
            <v>1702</v>
          </cell>
          <cell r="M95">
            <v>650</v>
          </cell>
          <cell r="S95">
            <v>3500</v>
          </cell>
          <cell r="T95">
            <v>2000</v>
          </cell>
          <cell r="Y95">
            <v>3000</v>
          </cell>
          <cell r="Z95">
            <v>1082</v>
          </cell>
        </row>
        <row r="96">
          <cell r="K96">
            <v>336</v>
          </cell>
          <cell r="L96">
            <v>118</v>
          </cell>
          <cell r="M96">
            <v>650</v>
          </cell>
          <cell r="S96">
            <v>300</v>
          </cell>
          <cell r="T96">
            <v>272</v>
          </cell>
          <cell r="Y96">
            <v>240</v>
          </cell>
          <cell r="Z96">
            <v>549</v>
          </cell>
        </row>
        <row r="97">
          <cell r="K97">
            <v>1008</v>
          </cell>
          <cell r="L97">
            <v>1296</v>
          </cell>
          <cell r="S97">
            <v>1974</v>
          </cell>
          <cell r="T97">
            <v>1326</v>
          </cell>
          <cell r="Y97">
            <v>1170</v>
          </cell>
          <cell r="Z97">
            <v>-717</v>
          </cell>
        </row>
        <row r="98">
          <cell r="K98">
            <v>672</v>
          </cell>
          <cell r="L98">
            <v>1248</v>
          </cell>
          <cell r="S98">
            <v>2726</v>
          </cell>
          <cell r="T98">
            <v>1802</v>
          </cell>
          <cell r="Y98">
            <v>1590</v>
          </cell>
          <cell r="Z98">
            <v>176</v>
          </cell>
        </row>
        <row r="99">
          <cell r="K99">
            <v>2016</v>
          </cell>
          <cell r="L99">
            <v>2662</v>
          </cell>
          <cell r="M99">
            <v>650</v>
          </cell>
          <cell r="S99">
            <v>5000</v>
          </cell>
          <cell r="T99">
            <v>3400</v>
          </cell>
          <cell r="Y99">
            <v>3000</v>
          </cell>
          <cell r="Z99">
            <v>8</v>
          </cell>
        </row>
        <row r="100">
          <cell r="L100">
            <v>0</v>
          </cell>
          <cell r="T100">
            <v>0</v>
          </cell>
          <cell r="Y100">
            <v>0</v>
          </cell>
          <cell r="Z100">
            <v>0</v>
          </cell>
        </row>
        <row r="101">
          <cell r="L101">
            <v>0</v>
          </cell>
          <cell r="T101">
            <v>0</v>
          </cell>
          <cell r="Y101">
            <v>0</v>
          </cell>
          <cell r="Z101">
            <v>0</v>
          </cell>
        </row>
        <row r="102">
          <cell r="K102">
            <v>0</v>
          </cell>
          <cell r="L102">
            <v>0</v>
          </cell>
          <cell r="M102">
            <v>0</v>
          </cell>
          <cell r="S102">
            <v>0</v>
          </cell>
          <cell r="T102">
            <v>0</v>
          </cell>
          <cell r="Y102">
            <v>0</v>
          </cell>
          <cell r="Z102">
            <v>0</v>
          </cell>
        </row>
        <row r="103">
          <cell r="K103">
            <v>3024</v>
          </cell>
          <cell r="L103">
            <v>144</v>
          </cell>
          <cell r="M103">
            <v>3024</v>
          </cell>
          <cell r="S103">
            <v>1950</v>
          </cell>
          <cell r="T103">
            <v>1400</v>
          </cell>
          <cell r="Y103">
            <v>1400</v>
          </cell>
        </row>
        <row r="104">
          <cell r="K104">
            <v>1968</v>
          </cell>
          <cell r="L104">
            <v>192</v>
          </cell>
          <cell r="M104">
            <v>1776</v>
          </cell>
          <cell r="S104">
            <v>1050</v>
          </cell>
          <cell r="T104">
            <v>600</v>
          </cell>
          <cell r="Y104">
            <v>600</v>
          </cell>
        </row>
        <row r="105">
          <cell r="K105">
            <v>4992</v>
          </cell>
          <cell r="L105">
            <v>336</v>
          </cell>
          <cell r="M105">
            <v>4800</v>
          </cell>
          <cell r="S105">
            <v>3000</v>
          </cell>
          <cell r="T105">
            <v>2000</v>
          </cell>
          <cell r="Y105">
            <v>2000</v>
          </cell>
          <cell r="Z105">
            <v>0</v>
          </cell>
        </row>
        <row r="106">
          <cell r="K106">
            <v>576</v>
          </cell>
          <cell r="L106">
            <v>0</v>
          </cell>
          <cell r="M106">
            <v>864</v>
          </cell>
          <cell r="T106">
            <v>0</v>
          </cell>
          <cell r="Y106">
            <v>0</v>
          </cell>
        </row>
        <row r="107">
          <cell r="K107">
            <v>576</v>
          </cell>
          <cell r="L107">
            <v>576</v>
          </cell>
          <cell r="S107">
            <v>576</v>
          </cell>
          <cell r="T107">
            <v>0</v>
          </cell>
          <cell r="Y107">
            <v>0</v>
          </cell>
        </row>
        <row r="108">
          <cell r="K108">
            <v>528</v>
          </cell>
          <cell r="L108">
            <v>92</v>
          </cell>
          <cell r="M108">
            <v>436</v>
          </cell>
          <cell r="S108">
            <v>24</v>
          </cell>
          <cell r="T108">
            <v>0</v>
          </cell>
          <cell r="Y108">
            <v>0</v>
          </cell>
        </row>
        <row r="109">
          <cell r="K109">
            <v>1680</v>
          </cell>
          <cell r="L109">
            <v>668</v>
          </cell>
          <cell r="M109">
            <v>1300</v>
          </cell>
          <cell r="S109">
            <v>600</v>
          </cell>
          <cell r="T109">
            <v>0</v>
          </cell>
          <cell r="Y109">
            <v>0</v>
          </cell>
          <cell r="Z109">
            <v>0</v>
          </cell>
        </row>
        <row r="110">
          <cell r="K110">
            <v>960</v>
          </cell>
          <cell r="L110">
            <v>960</v>
          </cell>
          <cell r="S110">
            <v>800</v>
          </cell>
          <cell r="T110">
            <v>600</v>
          </cell>
          <cell r="Y110">
            <v>1800</v>
          </cell>
          <cell r="Z110">
            <v>900</v>
          </cell>
        </row>
        <row r="111">
          <cell r="K111">
            <v>480</v>
          </cell>
          <cell r="L111">
            <v>480</v>
          </cell>
          <cell r="T111">
            <v>0</v>
          </cell>
          <cell r="Y111">
            <v>1800</v>
          </cell>
          <cell r="Z111">
            <v>700</v>
          </cell>
        </row>
        <row r="112">
          <cell r="K112">
            <v>1440</v>
          </cell>
          <cell r="L112">
            <v>1440</v>
          </cell>
          <cell r="M112">
            <v>0</v>
          </cell>
          <cell r="S112">
            <v>800</v>
          </cell>
          <cell r="T112">
            <v>600</v>
          </cell>
          <cell r="Y112">
            <v>3600</v>
          </cell>
          <cell r="Z112">
            <v>1600</v>
          </cell>
        </row>
        <row r="113">
          <cell r="K113">
            <v>2688</v>
          </cell>
          <cell r="L113">
            <v>688</v>
          </cell>
          <cell r="M113">
            <v>2000</v>
          </cell>
          <cell r="S113">
            <v>1000</v>
          </cell>
          <cell r="T113">
            <v>900</v>
          </cell>
          <cell r="Y113">
            <v>1200</v>
          </cell>
          <cell r="Z113">
            <v>990</v>
          </cell>
        </row>
        <row r="114">
          <cell r="K114">
            <v>3264</v>
          </cell>
          <cell r="L114">
            <v>264</v>
          </cell>
          <cell r="M114">
            <v>3000</v>
          </cell>
          <cell r="S114">
            <v>1500</v>
          </cell>
          <cell r="T114">
            <v>1200</v>
          </cell>
          <cell r="Y114">
            <v>1600</v>
          </cell>
          <cell r="Z114">
            <v>1720</v>
          </cell>
        </row>
        <row r="115">
          <cell r="L115">
            <v>0</v>
          </cell>
          <cell r="S115">
            <v>2500</v>
          </cell>
          <cell r="T115">
            <v>900</v>
          </cell>
          <cell r="Y115">
            <v>1200</v>
          </cell>
          <cell r="Z115">
            <v>1090</v>
          </cell>
        </row>
        <row r="116">
          <cell r="K116">
            <v>5952</v>
          </cell>
          <cell r="L116">
            <v>952</v>
          </cell>
          <cell r="M116">
            <v>5000</v>
          </cell>
          <cell r="S116">
            <v>5000</v>
          </cell>
          <cell r="T116">
            <v>3000</v>
          </cell>
          <cell r="Y116">
            <v>4000</v>
          </cell>
          <cell r="Z116">
            <v>3800</v>
          </cell>
        </row>
        <row r="117">
          <cell r="L117">
            <v>0</v>
          </cell>
          <cell r="S117">
            <v>920</v>
          </cell>
          <cell r="T117">
            <v>800</v>
          </cell>
          <cell r="Y117">
            <v>800</v>
          </cell>
          <cell r="Z117">
            <v>520</v>
          </cell>
        </row>
        <row r="118">
          <cell r="L118">
            <v>0</v>
          </cell>
          <cell r="S118">
            <v>1380</v>
          </cell>
          <cell r="T118">
            <v>1200</v>
          </cell>
          <cell r="Y118">
            <v>1200</v>
          </cell>
          <cell r="Z118">
            <v>780</v>
          </cell>
        </row>
        <row r="119">
          <cell r="K119">
            <v>0</v>
          </cell>
          <cell r="L119">
            <v>0</v>
          </cell>
          <cell r="M119">
            <v>0</v>
          </cell>
          <cell r="S119">
            <v>2300</v>
          </cell>
          <cell r="T119">
            <v>2000</v>
          </cell>
          <cell r="Y119">
            <v>2000</v>
          </cell>
          <cell r="Z119">
            <v>1300</v>
          </cell>
        </row>
        <row r="120">
          <cell r="K120">
            <v>1248</v>
          </cell>
          <cell r="L120">
            <v>0</v>
          </cell>
          <cell r="M120">
            <v>2160</v>
          </cell>
          <cell r="T120">
            <v>0</v>
          </cell>
          <cell r="Y120">
            <v>0</v>
          </cell>
        </row>
        <row r="121">
          <cell r="K121">
            <v>1248</v>
          </cell>
          <cell r="L121">
            <v>0</v>
          </cell>
          <cell r="M121">
            <v>2352</v>
          </cell>
          <cell r="T121">
            <v>0</v>
          </cell>
          <cell r="Y121">
            <v>0</v>
          </cell>
        </row>
        <row r="122">
          <cell r="K122">
            <v>624</v>
          </cell>
          <cell r="L122">
            <v>0</v>
          </cell>
          <cell r="M122">
            <v>912</v>
          </cell>
          <cell r="T122">
            <v>0</v>
          </cell>
          <cell r="Y122">
            <v>0</v>
          </cell>
        </row>
        <row r="123">
          <cell r="K123">
            <v>4656</v>
          </cell>
          <cell r="L123">
            <v>932</v>
          </cell>
          <cell r="M123">
            <v>5500</v>
          </cell>
          <cell r="S123">
            <v>1300</v>
          </cell>
          <cell r="T123">
            <v>4650</v>
          </cell>
          <cell r="Y123">
            <v>6300</v>
          </cell>
          <cell r="Z123">
            <v>2870</v>
          </cell>
        </row>
        <row r="124">
          <cell r="K124">
            <v>9072</v>
          </cell>
          <cell r="L124">
            <v>3134</v>
          </cell>
          <cell r="M124">
            <v>9538</v>
          </cell>
          <cell r="S124">
            <v>1500</v>
          </cell>
          <cell r="T124">
            <v>4650</v>
          </cell>
          <cell r="Y124">
            <v>6300</v>
          </cell>
          <cell r="Z124">
            <v>5311</v>
          </cell>
        </row>
        <row r="125">
          <cell r="L125">
            <v>0</v>
          </cell>
          <cell r="S125">
            <v>8500</v>
          </cell>
          <cell r="T125">
            <v>4650</v>
          </cell>
          <cell r="Y125">
            <v>6300</v>
          </cell>
          <cell r="Z125">
            <v>2050</v>
          </cell>
        </row>
        <row r="126">
          <cell r="L126">
            <v>0</v>
          </cell>
          <cell r="S126">
            <v>8500</v>
          </cell>
          <cell r="T126">
            <v>4650</v>
          </cell>
          <cell r="Y126">
            <v>6300</v>
          </cell>
          <cell r="Z126">
            <v>2050</v>
          </cell>
        </row>
        <row r="127">
          <cell r="K127">
            <v>10176</v>
          </cell>
          <cell r="L127">
            <v>2942</v>
          </cell>
          <cell r="M127">
            <v>9538</v>
          </cell>
          <cell r="S127">
            <v>1200</v>
          </cell>
          <cell r="T127">
            <v>4650</v>
          </cell>
          <cell r="Y127">
            <v>6300</v>
          </cell>
          <cell r="Z127">
            <v>4704</v>
          </cell>
        </row>
        <row r="128">
          <cell r="L128">
            <v>0</v>
          </cell>
          <cell r="S128">
            <v>14000</v>
          </cell>
          <cell r="T128">
            <v>7750</v>
          </cell>
          <cell r="Y128">
            <v>10500</v>
          </cell>
          <cell r="Z128">
            <v>3250</v>
          </cell>
        </row>
        <row r="129">
          <cell r="K129">
            <v>27024</v>
          </cell>
          <cell r="L129">
            <v>7008</v>
          </cell>
          <cell r="M129">
            <v>30000</v>
          </cell>
          <cell r="S129">
            <v>35000</v>
          </cell>
          <cell r="T129">
            <v>31000</v>
          </cell>
          <cell r="Y129">
            <v>42000</v>
          </cell>
          <cell r="Z129">
            <v>20235</v>
          </cell>
        </row>
        <row r="130">
          <cell r="L130">
            <v>-3307</v>
          </cell>
          <cell r="M130">
            <v>3307</v>
          </cell>
          <cell r="S130">
            <v>3600</v>
          </cell>
          <cell r="T130">
            <v>3500</v>
          </cell>
          <cell r="Y130">
            <v>4900</v>
          </cell>
          <cell r="Z130">
            <v>1100</v>
          </cell>
        </row>
        <row r="131">
          <cell r="L131">
            <v>-1844</v>
          </cell>
          <cell r="M131">
            <v>1844</v>
          </cell>
          <cell r="S131">
            <v>3700</v>
          </cell>
          <cell r="T131">
            <v>3500</v>
          </cell>
          <cell r="Y131">
            <v>4900</v>
          </cell>
          <cell r="Z131">
            <v>1225</v>
          </cell>
        </row>
        <row r="132">
          <cell r="L132">
            <v>-234</v>
          </cell>
          <cell r="M132">
            <v>234</v>
          </cell>
          <cell r="S132">
            <v>1300</v>
          </cell>
          <cell r="T132">
            <v>1000</v>
          </cell>
          <cell r="Y132">
            <v>1400</v>
          </cell>
          <cell r="Z132">
            <v>480</v>
          </cell>
        </row>
        <row r="133">
          <cell r="L133">
            <v>-615</v>
          </cell>
          <cell r="M133">
            <v>615</v>
          </cell>
          <cell r="S133">
            <v>2400</v>
          </cell>
          <cell r="T133">
            <v>2000</v>
          </cell>
          <cell r="Y133">
            <v>2800</v>
          </cell>
          <cell r="Z133">
            <v>600</v>
          </cell>
        </row>
        <row r="134">
          <cell r="K134">
            <v>0</v>
          </cell>
          <cell r="L134">
            <v>-6000</v>
          </cell>
          <cell r="M134">
            <v>6000</v>
          </cell>
          <cell r="S134">
            <v>11000</v>
          </cell>
          <cell r="T134">
            <v>10000</v>
          </cell>
          <cell r="Y134">
            <v>14000</v>
          </cell>
          <cell r="Z134">
            <v>3405</v>
          </cell>
        </row>
        <row r="135">
          <cell r="K135">
            <v>2592</v>
          </cell>
          <cell r="L135">
            <v>815</v>
          </cell>
          <cell r="M135">
            <v>3361</v>
          </cell>
          <cell r="S135">
            <v>7000</v>
          </cell>
          <cell r="T135">
            <v>6000</v>
          </cell>
          <cell r="Y135">
            <v>8400</v>
          </cell>
          <cell r="Z135">
            <v>4652</v>
          </cell>
        </row>
        <row r="136">
          <cell r="K136">
            <v>2592</v>
          </cell>
          <cell r="L136">
            <v>1457</v>
          </cell>
          <cell r="M136">
            <v>2575</v>
          </cell>
          <cell r="S136">
            <v>5250</v>
          </cell>
          <cell r="T136">
            <v>4500</v>
          </cell>
          <cell r="Y136">
            <v>6300</v>
          </cell>
          <cell r="Z136">
            <v>4717</v>
          </cell>
        </row>
        <row r="137">
          <cell r="K137">
            <v>11424</v>
          </cell>
          <cell r="L137">
            <v>0</v>
          </cell>
          <cell r="M137">
            <v>11424</v>
          </cell>
          <cell r="S137">
            <v>7000</v>
          </cell>
          <cell r="T137">
            <v>6000</v>
          </cell>
          <cell r="Y137">
            <v>8400</v>
          </cell>
          <cell r="Z137">
            <v>4464</v>
          </cell>
        </row>
        <row r="138">
          <cell r="K138">
            <v>8160</v>
          </cell>
          <cell r="L138">
            <v>0</v>
          </cell>
          <cell r="M138">
            <v>8160</v>
          </cell>
          <cell r="S138">
            <v>5250</v>
          </cell>
          <cell r="T138">
            <v>4500</v>
          </cell>
          <cell r="Y138">
            <v>6300</v>
          </cell>
          <cell r="Z138">
            <v>2910</v>
          </cell>
        </row>
        <row r="139">
          <cell r="K139">
            <v>8832</v>
          </cell>
          <cell r="L139">
            <v>92</v>
          </cell>
          <cell r="M139">
            <v>8740</v>
          </cell>
          <cell r="S139">
            <v>5250</v>
          </cell>
          <cell r="T139">
            <v>4500</v>
          </cell>
          <cell r="Y139">
            <v>6300</v>
          </cell>
          <cell r="Z139">
            <v>3490</v>
          </cell>
        </row>
        <row r="140">
          <cell r="K140">
            <v>2304</v>
          </cell>
          <cell r="L140">
            <v>2868</v>
          </cell>
          <cell r="M140">
            <v>1740</v>
          </cell>
          <cell r="S140">
            <v>5250</v>
          </cell>
          <cell r="T140">
            <v>4500</v>
          </cell>
          <cell r="Y140">
            <v>6300</v>
          </cell>
          <cell r="Z140">
            <v>4068</v>
          </cell>
        </row>
        <row r="141">
          <cell r="K141">
            <v>35904</v>
          </cell>
          <cell r="L141">
            <v>5232</v>
          </cell>
          <cell r="M141">
            <v>36000</v>
          </cell>
          <cell r="S141">
            <v>35000</v>
          </cell>
          <cell r="T141">
            <v>30000</v>
          </cell>
          <cell r="Y141">
            <v>42000</v>
          </cell>
          <cell r="Z141">
            <v>24301</v>
          </cell>
        </row>
        <row r="142">
          <cell r="L142">
            <v>-3000</v>
          </cell>
          <cell r="M142">
            <v>3000</v>
          </cell>
          <cell r="S142">
            <v>1464</v>
          </cell>
          <cell r="T142">
            <v>1500</v>
          </cell>
          <cell r="Y142">
            <v>2000</v>
          </cell>
        </row>
        <row r="143">
          <cell r="K143">
            <v>0</v>
          </cell>
          <cell r="L143">
            <v>-3000</v>
          </cell>
          <cell r="M143">
            <v>3000</v>
          </cell>
          <cell r="S143">
            <v>1464</v>
          </cell>
          <cell r="T143">
            <v>1500</v>
          </cell>
          <cell r="Y143">
            <v>2000</v>
          </cell>
          <cell r="Z143">
            <v>0</v>
          </cell>
        </row>
        <row r="144">
          <cell r="K144">
            <v>1056</v>
          </cell>
          <cell r="L144">
            <v>800</v>
          </cell>
          <cell r="M144">
            <v>1984</v>
          </cell>
          <cell r="T144">
            <v>600</v>
          </cell>
          <cell r="Y144">
            <v>900</v>
          </cell>
          <cell r="Z144">
            <v>1609</v>
          </cell>
        </row>
        <row r="145">
          <cell r="L145">
            <v>0</v>
          </cell>
          <cell r="S145">
            <v>1800</v>
          </cell>
          <cell r="T145">
            <v>800</v>
          </cell>
          <cell r="Y145">
            <v>1200</v>
          </cell>
          <cell r="Z145">
            <v>450</v>
          </cell>
        </row>
        <row r="146">
          <cell r="L146">
            <v>0</v>
          </cell>
          <cell r="M146">
            <v>528</v>
          </cell>
          <cell r="T146">
            <v>0</v>
          </cell>
          <cell r="Y146">
            <v>0</v>
          </cell>
        </row>
        <row r="147">
          <cell r="L147">
            <v>0</v>
          </cell>
          <cell r="S147">
            <v>1200</v>
          </cell>
          <cell r="T147">
            <v>600</v>
          </cell>
          <cell r="Y147">
            <v>900</v>
          </cell>
          <cell r="Z147">
            <v>350</v>
          </cell>
        </row>
        <row r="148">
          <cell r="K148">
            <v>528</v>
          </cell>
          <cell r="L148">
            <v>0</v>
          </cell>
          <cell r="M148">
            <v>1488</v>
          </cell>
          <cell r="T148">
            <v>0</v>
          </cell>
          <cell r="Y148">
            <v>0</v>
          </cell>
        </row>
        <row r="149">
          <cell r="K149">
            <v>1584</v>
          </cell>
          <cell r="L149">
            <v>800</v>
          </cell>
          <cell r="M149">
            <v>4000</v>
          </cell>
          <cell r="S149">
            <v>3000</v>
          </cell>
          <cell r="T149">
            <v>2000</v>
          </cell>
          <cell r="Y149">
            <v>3000</v>
          </cell>
          <cell r="Z149">
            <v>2409</v>
          </cell>
        </row>
        <row r="150">
          <cell r="L150">
            <v>0</v>
          </cell>
          <cell r="T150">
            <v>450</v>
          </cell>
          <cell r="Y150">
            <v>450</v>
          </cell>
          <cell r="Z150">
            <v>907</v>
          </cell>
        </row>
        <row r="151">
          <cell r="L151">
            <v>-1000</v>
          </cell>
          <cell r="M151">
            <v>1000</v>
          </cell>
          <cell r="S151">
            <v>750</v>
          </cell>
          <cell r="T151">
            <v>300</v>
          </cell>
          <cell r="Y151">
            <v>300</v>
          </cell>
          <cell r="Z151">
            <v>950</v>
          </cell>
        </row>
        <row r="152">
          <cell r="L152">
            <v>-2000</v>
          </cell>
          <cell r="M152">
            <v>2000</v>
          </cell>
          <cell r="S152">
            <v>1250</v>
          </cell>
          <cell r="T152">
            <v>750</v>
          </cell>
          <cell r="Y152">
            <v>600</v>
          </cell>
          <cell r="Z152">
            <v>1680</v>
          </cell>
        </row>
        <row r="153">
          <cell r="K153">
            <v>0</v>
          </cell>
          <cell r="L153">
            <v>-3000</v>
          </cell>
          <cell r="M153">
            <v>3000</v>
          </cell>
          <cell r="S153">
            <v>2000</v>
          </cell>
          <cell r="T153">
            <v>1500</v>
          </cell>
          <cell r="Y153">
            <v>1350</v>
          </cell>
          <cell r="Z153">
            <v>3537</v>
          </cell>
        </row>
        <row r="154">
          <cell r="L154">
            <v>-672</v>
          </cell>
          <cell r="M154">
            <v>672</v>
          </cell>
          <cell r="T154">
            <v>0</v>
          </cell>
          <cell r="Y154">
            <v>0</v>
          </cell>
        </row>
        <row r="155">
          <cell r="L155">
            <v>-1824</v>
          </cell>
          <cell r="M155">
            <v>1824</v>
          </cell>
          <cell r="T155">
            <v>0</v>
          </cell>
          <cell r="Y155">
            <v>0</v>
          </cell>
        </row>
        <row r="156">
          <cell r="L156">
            <v>-960</v>
          </cell>
          <cell r="M156">
            <v>960</v>
          </cell>
          <cell r="T156">
            <v>0</v>
          </cell>
          <cell r="Y156">
            <v>0</v>
          </cell>
        </row>
        <row r="157">
          <cell r="L157">
            <v>-720</v>
          </cell>
          <cell r="M157">
            <v>720</v>
          </cell>
          <cell r="T157">
            <v>0</v>
          </cell>
          <cell r="Y157">
            <v>0</v>
          </cell>
        </row>
        <row r="158">
          <cell r="K158">
            <v>0</v>
          </cell>
          <cell r="L158">
            <v>-4176</v>
          </cell>
          <cell r="M158">
            <v>4176</v>
          </cell>
          <cell r="S158">
            <v>0</v>
          </cell>
          <cell r="T158">
            <v>0</v>
          </cell>
          <cell r="Y158">
            <v>0</v>
          </cell>
          <cell r="Z158">
            <v>0</v>
          </cell>
        </row>
        <row r="159">
          <cell r="L159">
            <v>0</v>
          </cell>
          <cell r="T159">
            <v>375</v>
          </cell>
          <cell r="Y159">
            <v>450</v>
          </cell>
          <cell r="Z159">
            <v>986</v>
          </cell>
        </row>
        <row r="160">
          <cell r="L160">
            <v>-1539</v>
          </cell>
          <cell r="M160">
            <v>1539</v>
          </cell>
          <cell r="S160">
            <v>1475</v>
          </cell>
          <cell r="T160">
            <v>1625</v>
          </cell>
          <cell r="Y160">
            <v>1950</v>
          </cell>
          <cell r="Z160">
            <v>700</v>
          </cell>
        </row>
        <row r="161">
          <cell r="L161">
            <v>-961</v>
          </cell>
          <cell r="M161">
            <v>961</v>
          </cell>
          <cell r="S161">
            <v>25</v>
          </cell>
          <cell r="T161">
            <v>500</v>
          </cell>
          <cell r="Y161">
            <v>600</v>
          </cell>
          <cell r="Z161">
            <v>400</v>
          </cell>
        </row>
        <row r="162">
          <cell r="K162">
            <v>0</v>
          </cell>
          <cell r="L162">
            <v>-2500</v>
          </cell>
          <cell r="M162">
            <v>2500</v>
          </cell>
          <cell r="S162">
            <v>1500</v>
          </cell>
          <cell r="T162">
            <v>2500</v>
          </cell>
          <cell r="Y162">
            <v>3000</v>
          </cell>
          <cell r="Z162">
            <v>2086</v>
          </cell>
        </row>
        <row r="163">
          <cell r="L163">
            <v>-1989</v>
          </cell>
          <cell r="M163">
            <v>1989</v>
          </cell>
          <cell r="S163">
            <v>1800</v>
          </cell>
          <cell r="T163">
            <v>1600</v>
          </cell>
          <cell r="Y163">
            <v>2000</v>
          </cell>
          <cell r="Z163">
            <v>850</v>
          </cell>
        </row>
        <row r="164">
          <cell r="L164">
            <v>-3011</v>
          </cell>
          <cell r="M164">
            <v>3011</v>
          </cell>
          <cell r="S164">
            <v>2700</v>
          </cell>
          <cell r="T164">
            <v>2400</v>
          </cell>
          <cell r="Y164">
            <v>3000</v>
          </cell>
          <cell r="Z164">
            <v>1149</v>
          </cell>
        </row>
        <row r="165">
          <cell r="K165">
            <v>0</v>
          </cell>
          <cell r="L165">
            <v>-5000</v>
          </cell>
          <cell r="M165">
            <v>5000</v>
          </cell>
          <cell r="S165">
            <v>4500</v>
          </cell>
          <cell r="T165">
            <v>4000</v>
          </cell>
          <cell r="Y165">
            <v>5000</v>
          </cell>
          <cell r="Z165">
            <v>1999</v>
          </cell>
        </row>
        <row r="166">
          <cell r="K166">
            <v>2112</v>
          </cell>
          <cell r="L166">
            <v>800</v>
          </cell>
          <cell r="M166">
            <v>1600</v>
          </cell>
          <cell r="S166">
            <v>1250</v>
          </cell>
          <cell r="T166">
            <v>800</v>
          </cell>
          <cell r="Y166">
            <v>1200</v>
          </cell>
          <cell r="Z166">
            <v>1775</v>
          </cell>
        </row>
        <row r="167">
          <cell r="K167">
            <v>1536</v>
          </cell>
          <cell r="L167">
            <v>232</v>
          </cell>
          <cell r="M167">
            <v>1400</v>
          </cell>
          <cell r="S167">
            <v>1250</v>
          </cell>
          <cell r="T167">
            <v>800</v>
          </cell>
          <cell r="Y167">
            <v>1200</v>
          </cell>
          <cell r="Z167">
            <v>1273</v>
          </cell>
        </row>
        <row r="168">
          <cell r="L168">
            <v>96</v>
          </cell>
          <cell r="T168">
            <v>200</v>
          </cell>
          <cell r="Y168">
            <v>300</v>
          </cell>
          <cell r="Z168">
            <v>494</v>
          </cell>
        </row>
        <row r="169">
          <cell r="K169">
            <v>3648</v>
          </cell>
          <cell r="L169">
            <v>1128</v>
          </cell>
          <cell r="M169">
            <v>3000</v>
          </cell>
          <cell r="S169">
            <v>2500</v>
          </cell>
          <cell r="T169">
            <v>1800</v>
          </cell>
          <cell r="Y169">
            <v>2700</v>
          </cell>
          <cell r="Z169">
            <v>3542</v>
          </cell>
        </row>
        <row r="170">
          <cell r="L170">
            <v>-500</v>
          </cell>
          <cell r="M170">
            <v>500</v>
          </cell>
          <cell r="T170">
            <v>0</v>
          </cell>
          <cell r="Y170">
            <v>0</v>
          </cell>
        </row>
        <row r="171">
          <cell r="L171">
            <v>-11185</v>
          </cell>
          <cell r="M171">
            <v>11185</v>
          </cell>
          <cell r="S171">
            <v>3600</v>
          </cell>
          <cell r="T171">
            <v>3400</v>
          </cell>
          <cell r="Y171">
            <v>4400</v>
          </cell>
          <cell r="Z171">
            <v>2300</v>
          </cell>
        </row>
        <row r="172">
          <cell r="K172">
            <v>5000</v>
          </cell>
          <cell r="L172">
            <v>2936</v>
          </cell>
          <cell r="M172">
            <v>3600</v>
          </cell>
          <cell r="S172">
            <v>4500</v>
          </cell>
          <cell r="T172">
            <v>4250</v>
          </cell>
          <cell r="Y172">
            <v>5500</v>
          </cell>
          <cell r="Z172">
            <v>2529</v>
          </cell>
        </row>
        <row r="173">
          <cell r="L173">
            <v>-2715</v>
          </cell>
          <cell r="M173">
            <v>2715</v>
          </cell>
          <cell r="S173">
            <v>6400</v>
          </cell>
          <cell r="T173">
            <v>5100</v>
          </cell>
          <cell r="Y173">
            <v>6600</v>
          </cell>
          <cell r="Z173">
            <v>2381</v>
          </cell>
        </row>
        <row r="174">
          <cell r="L174">
            <v>0</v>
          </cell>
          <cell r="S174">
            <v>2500</v>
          </cell>
          <cell r="T174">
            <v>1700</v>
          </cell>
          <cell r="Y174">
            <v>2200</v>
          </cell>
          <cell r="Z174">
            <v>1600</v>
          </cell>
        </row>
        <row r="175">
          <cell r="L175">
            <v>0</v>
          </cell>
          <cell r="S175">
            <v>3000</v>
          </cell>
          <cell r="T175">
            <v>2550</v>
          </cell>
          <cell r="Y175">
            <v>3300</v>
          </cell>
          <cell r="Z175">
            <v>1650</v>
          </cell>
        </row>
        <row r="176">
          <cell r="K176">
            <v>5000</v>
          </cell>
          <cell r="L176">
            <v>-11464</v>
          </cell>
          <cell r="M176">
            <v>18000</v>
          </cell>
          <cell r="S176">
            <v>20000</v>
          </cell>
          <cell r="T176">
            <v>17000</v>
          </cell>
          <cell r="Y176">
            <v>22000</v>
          </cell>
          <cell r="Z176">
            <v>10460</v>
          </cell>
        </row>
        <row r="177">
          <cell r="L177">
            <v>0</v>
          </cell>
          <cell r="T177">
            <v>375</v>
          </cell>
          <cell r="Y177">
            <v>525</v>
          </cell>
          <cell r="Z177">
            <v>480</v>
          </cell>
        </row>
        <row r="178">
          <cell r="L178">
            <v>-661</v>
          </cell>
          <cell r="M178">
            <v>661</v>
          </cell>
          <cell r="S178">
            <v>550</v>
          </cell>
          <cell r="T178">
            <v>1250</v>
          </cell>
          <cell r="Y178">
            <v>1750</v>
          </cell>
          <cell r="Z178">
            <v>770</v>
          </cell>
        </row>
        <row r="179">
          <cell r="L179">
            <v>-1339</v>
          </cell>
          <cell r="M179">
            <v>1339</v>
          </cell>
          <cell r="S179">
            <v>950</v>
          </cell>
          <cell r="T179">
            <v>875</v>
          </cell>
          <cell r="Y179">
            <v>1225</v>
          </cell>
          <cell r="Z179">
            <v>480</v>
          </cell>
        </row>
        <row r="180">
          <cell r="K180">
            <v>0</v>
          </cell>
          <cell r="L180">
            <v>-2000</v>
          </cell>
          <cell r="M180">
            <v>2000</v>
          </cell>
          <cell r="S180">
            <v>1500</v>
          </cell>
          <cell r="T180">
            <v>2500</v>
          </cell>
          <cell r="Y180">
            <v>3500</v>
          </cell>
          <cell r="Z180">
            <v>1730</v>
          </cell>
        </row>
        <row r="181">
          <cell r="L181">
            <v>0</v>
          </cell>
          <cell r="S181">
            <v>1800</v>
          </cell>
          <cell r="T181">
            <v>1200</v>
          </cell>
          <cell r="Y181">
            <v>1600</v>
          </cell>
          <cell r="Z181">
            <v>600</v>
          </cell>
        </row>
        <row r="182">
          <cell r="L182">
            <v>0</v>
          </cell>
          <cell r="S182">
            <v>2700</v>
          </cell>
          <cell r="T182">
            <v>1800</v>
          </cell>
          <cell r="Y182">
            <v>2400</v>
          </cell>
          <cell r="Z182">
            <v>900</v>
          </cell>
        </row>
        <row r="183">
          <cell r="K183">
            <v>0</v>
          </cell>
          <cell r="L183">
            <v>0</v>
          </cell>
          <cell r="M183">
            <v>0</v>
          </cell>
          <cell r="S183">
            <v>4500</v>
          </cell>
          <cell r="T183">
            <v>3000</v>
          </cell>
          <cell r="Y183">
            <v>4000</v>
          </cell>
          <cell r="Z183">
            <v>1500</v>
          </cell>
        </row>
        <row r="184">
          <cell r="L184">
            <v>-446</v>
          </cell>
          <cell r="M184">
            <v>446</v>
          </cell>
          <cell r="S184">
            <v>300</v>
          </cell>
          <cell r="T184">
            <v>750</v>
          </cell>
          <cell r="Y184">
            <v>900</v>
          </cell>
          <cell r="Z184">
            <v>479</v>
          </cell>
        </row>
        <row r="185">
          <cell r="L185">
            <v>-1151</v>
          </cell>
          <cell r="M185">
            <v>1151</v>
          </cell>
          <cell r="S185">
            <v>300</v>
          </cell>
          <cell r="T185">
            <v>750</v>
          </cell>
          <cell r="Y185">
            <v>900</v>
          </cell>
          <cell r="Z185">
            <v>478</v>
          </cell>
        </row>
        <row r="186">
          <cell r="L186">
            <v>-2403</v>
          </cell>
          <cell r="M186">
            <v>2403</v>
          </cell>
          <cell r="S186">
            <v>900</v>
          </cell>
          <cell r="T186">
            <v>1000</v>
          </cell>
          <cell r="Y186">
            <v>1200</v>
          </cell>
          <cell r="Z186">
            <v>752</v>
          </cell>
        </row>
        <row r="187">
          <cell r="K187">
            <v>0</v>
          </cell>
          <cell r="L187">
            <v>-4000</v>
          </cell>
          <cell r="M187">
            <v>4000</v>
          </cell>
          <cell r="S187">
            <v>1500</v>
          </cell>
          <cell r="T187">
            <v>2500</v>
          </cell>
          <cell r="Y187">
            <v>3000</v>
          </cell>
          <cell r="Z187">
            <v>1709</v>
          </cell>
        </row>
        <row r="188">
          <cell r="L188">
            <v>-1250</v>
          </cell>
          <cell r="M188">
            <v>1250</v>
          </cell>
          <cell r="S188">
            <v>1200</v>
          </cell>
          <cell r="T188">
            <v>900</v>
          </cell>
          <cell r="Y188">
            <v>1200</v>
          </cell>
          <cell r="Z188">
            <v>1497</v>
          </cell>
        </row>
        <row r="189">
          <cell r="L189">
            <v>-2250</v>
          </cell>
          <cell r="M189">
            <v>2250</v>
          </cell>
          <cell r="S189">
            <v>3000</v>
          </cell>
          <cell r="T189">
            <v>2250</v>
          </cell>
          <cell r="Y189">
            <v>3000</v>
          </cell>
          <cell r="Z189">
            <v>1466</v>
          </cell>
        </row>
        <row r="190">
          <cell r="L190">
            <v>-1500</v>
          </cell>
          <cell r="M190">
            <v>1500</v>
          </cell>
          <cell r="S190">
            <v>1800</v>
          </cell>
          <cell r="T190">
            <v>1350</v>
          </cell>
          <cell r="Y190">
            <v>1800</v>
          </cell>
          <cell r="Z190">
            <v>2084</v>
          </cell>
        </row>
        <row r="191">
          <cell r="K191">
            <v>0</v>
          </cell>
          <cell r="L191">
            <v>-5000</v>
          </cell>
          <cell r="M191">
            <v>5000</v>
          </cell>
          <cell r="S191">
            <v>6000</v>
          </cell>
          <cell r="T191">
            <v>4500</v>
          </cell>
          <cell r="Y191">
            <v>6000</v>
          </cell>
          <cell r="Z191">
            <v>5047</v>
          </cell>
        </row>
        <row r="192">
          <cell r="L192">
            <v>-1789</v>
          </cell>
          <cell r="M192">
            <v>1789</v>
          </cell>
          <cell r="S192">
            <v>1400</v>
          </cell>
          <cell r="T192">
            <v>1100</v>
          </cell>
          <cell r="Y192">
            <v>1800</v>
          </cell>
          <cell r="Z192">
            <v>600</v>
          </cell>
        </row>
        <row r="193">
          <cell r="L193">
            <v>-3629</v>
          </cell>
          <cell r="M193">
            <v>3629</v>
          </cell>
          <cell r="S193">
            <v>3750</v>
          </cell>
          <cell r="T193">
            <v>3300</v>
          </cell>
          <cell r="Y193">
            <v>5400</v>
          </cell>
          <cell r="Z193">
            <v>1100</v>
          </cell>
        </row>
        <row r="194">
          <cell r="L194">
            <v>-3242</v>
          </cell>
          <cell r="M194">
            <v>3242</v>
          </cell>
          <cell r="S194">
            <v>2500</v>
          </cell>
          <cell r="T194">
            <v>2200</v>
          </cell>
          <cell r="Y194">
            <v>3600</v>
          </cell>
          <cell r="Z194">
            <v>800</v>
          </cell>
        </row>
        <row r="195">
          <cell r="L195">
            <v>-5340</v>
          </cell>
          <cell r="M195">
            <v>5340</v>
          </cell>
          <cell r="S195">
            <v>4850</v>
          </cell>
          <cell r="T195">
            <v>4400</v>
          </cell>
          <cell r="Y195">
            <v>7200</v>
          </cell>
          <cell r="Z195">
            <v>1100</v>
          </cell>
        </row>
        <row r="196">
          <cell r="K196">
            <v>0</v>
          </cell>
          <cell r="L196">
            <v>-14000</v>
          </cell>
          <cell r="M196">
            <v>14000</v>
          </cell>
          <cell r="S196">
            <v>12500</v>
          </cell>
          <cell r="T196">
            <v>11000</v>
          </cell>
          <cell r="Y196">
            <v>18000</v>
          </cell>
          <cell r="Z196">
            <v>3600</v>
          </cell>
        </row>
        <row r="197">
          <cell r="L197">
            <v>-2500</v>
          </cell>
          <cell r="M197">
            <v>2500</v>
          </cell>
          <cell r="S197">
            <v>1250</v>
          </cell>
          <cell r="T197">
            <v>1250</v>
          </cell>
          <cell r="Y197">
            <v>2000</v>
          </cell>
          <cell r="Z197">
            <v>771</v>
          </cell>
        </row>
        <row r="198">
          <cell r="L198">
            <v>-2000</v>
          </cell>
          <cell r="M198">
            <v>2000</v>
          </cell>
          <cell r="S198">
            <v>750</v>
          </cell>
          <cell r="T198">
            <v>750</v>
          </cell>
          <cell r="Y198">
            <v>1200</v>
          </cell>
          <cell r="Z198">
            <v>2766</v>
          </cell>
        </row>
        <row r="199">
          <cell r="L199">
            <v>-4500</v>
          </cell>
          <cell r="M199">
            <v>4500</v>
          </cell>
          <cell r="S199">
            <v>2500</v>
          </cell>
          <cell r="T199">
            <v>2500</v>
          </cell>
          <cell r="Y199">
            <v>4000</v>
          </cell>
          <cell r="Z199">
            <v>1074</v>
          </cell>
        </row>
        <row r="200">
          <cell r="L200">
            <v>-1000</v>
          </cell>
          <cell r="M200">
            <v>1000</v>
          </cell>
          <cell r="S200">
            <v>500</v>
          </cell>
          <cell r="T200">
            <v>500</v>
          </cell>
          <cell r="Y200">
            <v>800</v>
          </cell>
          <cell r="Z200">
            <v>1111</v>
          </cell>
        </row>
        <row r="201">
          <cell r="K201">
            <v>0</v>
          </cell>
          <cell r="L201">
            <v>-10000</v>
          </cell>
          <cell r="M201">
            <v>10000</v>
          </cell>
          <cell r="S201">
            <v>5000</v>
          </cell>
          <cell r="T201">
            <v>5000</v>
          </cell>
          <cell r="Y201">
            <v>8000</v>
          </cell>
          <cell r="Z201">
            <v>5722</v>
          </cell>
        </row>
        <row r="202">
          <cell r="L202">
            <v>-1856</v>
          </cell>
          <cell r="M202">
            <v>1856</v>
          </cell>
          <cell r="S202">
            <v>969</v>
          </cell>
          <cell r="T202">
            <v>600</v>
          </cell>
          <cell r="Y202">
            <v>900</v>
          </cell>
          <cell r="Z202">
            <v>900</v>
          </cell>
        </row>
        <row r="203">
          <cell r="L203">
            <v>-1156</v>
          </cell>
          <cell r="M203">
            <v>1156</v>
          </cell>
          <cell r="S203">
            <v>1000</v>
          </cell>
          <cell r="T203">
            <v>600</v>
          </cell>
          <cell r="Y203">
            <v>900</v>
          </cell>
          <cell r="Z203">
            <v>802</v>
          </cell>
        </row>
        <row r="204">
          <cell r="L204">
            <v>-1488</v>
          </cell>
          <cell r="M204">
            <v>1488</v>
          </cell>
          <cell r="S204">
            <v>2031</v>
          </cell>
          <cell r="T204">
            <v>800</v>
          </cell>
          <cell r="Y204">
            <v>1200</v>
          </cell>
          <cell r="Z204">
            <v>1000</v>
          </cell>
        </row>
        <row r="205">
          <cell r="K205">
            <v>0</v>
          </cell>
          <cell r="L205">
            <v>-4500</v>
          </cell>
          <cell r="M205">
            <v>4500</v>
          </cell>
          <cell r="S205">
            <v>4000</v>
          </cell>
          <cell r="T205">
            <v>2000</v>
          </cell>
          <cell r="Y205">
            <v>3000</v>
          </cell>
          <cell r="Z205">
            <v>2702</v>
          </cell>
        </row>
        <row r="206">
          <cell r="L206">
            <v>-3352</v>
          </cell>
          <cell r="M206">
            <v>3352</v>
          </cell>
          <cell r="S206">
            <v>2822</v>
          </cell>
          <cell r="T206">
            <v>2500</v>
          </cell>
          <cell r="Y206">
            <v>5250</v>
          </cell>
          <cell r="Z206">
            <v>1200</v>
          </cell>
        </row>
        <row r="207">
          <cell r="L207">
            <v>-3190</v>
          </cell>
          <cell r="M207">
            <v>3190</v>
          </cell>
          <cell r="S207">
            <v>2200</v>
          </cell>
          <cell r="T207">
            <v>2000</v>
          </cell>
          <cell r="Y207">
            <v>3000</v>
          </cell>
          <cell r="Z207">
            <v>1000</v>
          </cell>
        </row>
        <row r="208">
          <cell r="L208">
            <v>-3468</v>
          </cell>
          <cell r="M208">
            <v>3468</v>
          </cell>
          <cell r="S208">
            <v>3239</v>
          </cell>
          <cell r="T208">
            <v>3000</v>
          </cell>
          <cell r="Y208">
            <v>3000</v>
          </cell>
          <cell r="Z208">
            <v>1067</v>
          </cell>
        </row>
        <row r="209">
          <cell r="L209">
            <v>-2990</v>
          </cell>
          <cell r="M209">
            <v>2990</v>
          </cell>
          <cell r="S209">
            <v>2739</v>
          </cell>
          <cell r="T209">
            <v>2500</v>
          </cell>
          <cell r="Y209">
            <v>3750</v>
          </cell>
          <cell r="Z209">
            <v>1067</v>
          </cell>
        </row>
        <row r="210">
          <cell r="K210">
            <v>0</v>
          </cell>
          <cell r="L210">
            <v>-13000</v>
          </cell>
          <cell r="M210">
            <v>13000</v>
          </cell>
          <cell r="S210">
            <v>11000</v>
          </cell>
          <cell r="T210">
            <v>10000</v>
          </cell>
          <cell r="Y210">
            <v>15000</v>
          </cell>
          <cell r="Z210">
            <v>4334</v>
          </cell>
        </row>
        <row r="211">
          <cell r="L211">
            <v>-3000</v>
          </cell>
          <cell r="M211">
            <v>3000</v>
          </cell>
          <cell r="S211">
            <v>2500</v>
          </cell>
          <cell r="T211">
            <v>1500</v>
          </cell>
          <cell r="Y211">
            <v>2500</v>
          </cell>
          <cell r="Z211">
            <v>2077</v>
          </cell>
        </row>
        <row r="212">
          <cell r="L212">
            <v>-2000</v>
          </cell>
          <cell r="M212">
            <v>2000</v>
          </cell>
          <cell r="S212">
            <v>2000</v>
          </cell>
          <cell r="T212">
            <v>1200</v>
          </cell>
          <cell r="Y212">
            <v>2000</v>
          </cell>
          <cell r="Z212">
            <v>1405</v>
          </cell>
        </row>
        <row r="213">
          <cell r="L213">
            <v>-2000</v>
          </cell>
          <cell r="M213">
            <v>2000</v>
          </cell>
          <cell r="S213">
            <v>1500</v>
          </cell>
          <cell r="T213">
            <v>900</v>
          </cell>
          <cell r="Y213">
            <v>1500</v>
          </cell>
          <cell r="Z213">
            <v>1184</v>
          </cell>
        </row>
        <row r="214">
          <cell r="L214">
            <v>-3000</v>
          </cell>
          <cell r="M214">
            <v>3000</v>
          </cell>
          <cell r="S214">
            <v>4000</v>
          </cell>
          <cell r="T214">
            <v>2400</v>
          </cell>
          <cell r="Y214">
            <v>4000</v>
          </cell>
          <cell r="Z214">
            <v>2097</v>
          </cell>
        </row>
        <row r="215">
          <cell r="K215">
            <v>0</v>
          </cell>
          <cell r="L215">
            <v>-10000</v>
          </cell>
          <cell r="M215">
            <v>10000</v>
          </cell>
          <cell r="S215">
            <v>10000</v>
          </cell>
          <cell r="T215">
            <v>6000</v>
          </cell>
          <cell r="Y215">
            <v>10000</v>
          </cell>
          <cell r="Z215">
            <v>6763</v>
          </cell>
        </row>
        <row r="216">
          <cell r="L216">
            <v>0</v>
          </cell>
          <cell r="S216">
            <v>1500</v>
          </cell>
          <cell r="T216">
            <v>1000</v>
          </cell>
          <cell r="Y216">
            <v>1400</v>
          </cell>
          <cell r="Z216">
            <v>700</v>
          </cell>
        </row>
        <row r="217">
          <cell r="L217">
            <v>0</v>
          </cell>
          <cell r="S217">
            <v>1900</v>
          </cell>
          <cell r="T217">
            <v>1250</v>
          </cell>
          <cell r="Y217">
            <v>1750</v>
          </cell>
          <cell r="Z217">
            <v>900</v>
          </cell>
        </row>
        <row r="218">
          <cell r="L218">
            <v>0</v>
          </cell>
          <cell r="S218">
            <v>2700</v>
          </cell>
          <cell r="T218">
            <v>1500</v>
          </cell>
          <cell r="Y218">
            <v>2100</v>
          </cell>
          <cell r="Z218">
            <v>1500</v>
          </cell>
        </row>
      </sheetData>
      <sheetData sheetId="2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prov.Materiais Escala"/>
      <sheetName val="ENFEITE ETIQUETA"/>
      <sheetName val="PALMILHA EVA  "/>
    </sheetNames>
    <sheetDataSet>
      <sheetData sheetId="0"/>
      <sheetData sheetId="1"/>
      <sheetData sheetId="2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RTE_COSTURA"/>
      <sheetName val="Distribuição ABRIL"/>
      <sheetName val="Distribuição MAIO"/>
      <sheetName val="Distribuição MAIO (2)"/>
      <sheetName val="Distribuição JUNHO"/>
      <sheetName val="Distribuição MAIO _2_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as"/>
      <sheetName val="Grupo de Números"/>
      <sheetName val="ENFEITE 01 BATMAN"/>
      <sheetName val="22350 - ENFEITE 01 BATMAN"/>
    </sheetNames>
    <sheetDataSet>
      <sheetData sheetId="0">
        <row r="1">
          <cell r="B1" t="str">
            <v>Mix</v>
          </cell>
        </row>
        <row r="2">
          <cell r="E2" t="str">
            <v>Sintético 1</v>
          </cell>
          <cell r="F2">
            <v>0</v>
          </cell>
        </row>
        <row r="3">
          <cell r="E3" t="str">
            <v>Sintético 2</v>
          </cell>
          <cell r="F3" t="str">
            <v>1</v>
          </cell>
        </row>
        <row r="4">
          <cell r="E4" t="str">
            <v>Sintético 3</v>
          </cell>
        </row>
        <row r="5">
          <cell r="E5" t="str">
            <v>Sintético 4</v>
          </cell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4F6DE-6C80-450E-B408-4824878F5F6B}">
  <dimension ref="B1:Q38"/>
  <sheetViews>
    <sheetView tabSelected="1" workbookViewId="0">
      <selection activeCell="F12" sqref="F12"/>
    </sheetView>
  </sheetViews>
  <sheetFormatPr defaultRowHeight="15" x14ac:dyDescent="0.25"/>
  <cols>
    <col min="2" max="2" width="52.28515625" bestFit="1" customWidth="1"/>
    <col min="3" max="3" width="14.140625" bestFit="1" customWidth="1"/>
    <col min="4" max="4" width="14.140625" customWidth="1"/>
    <col min="5" max="5" width="25.7109375" bestFit="1" customWidth="1"/>
    <col min="6" max="6" width="44.28515625" bestFit="1" customWidth="1"/>
    <col min="7" max="7" width="13.42578125" customWidth="1"/>
    <col min="8" max="8" width="22.28515625" customWidth="1"/>
    <col min="9" max="9" width="13.7109375" bestFit="1" customWidth="1"/>
    <col min="10" max="10" width="13.7109375" customWidth="1"/>
    <col min="11" max="11" width="14" customWidth="1"/>
    <col min="12" max="14" width="9.7109375" customWidth="1"/>
  </cols>
  <sheetData>
    <row r="1" spans="2:17" x14ac:dyDescent="0.25">
      <c r="B1" s="451" t="s">
        <v>287</v>
      </c>
      <c r="C1" s="451"/>
      <c r="D1" s="451"/>
      <c r="E1" s="451"/>
    </row>
    <row r="2" spans="2:17" x14ac:dyDescent="0.25">
      <c r="B2" s="451" t="s">
        <v>160</v>
      </c>
      <c r="C2" s="451"/>
      <c r="D2" s="451"/>
      <c r="E2" s="451"/>
      <c r="H2" s="455" t="s">
        <v>306</v>
      </c>
      <c r="I2" s="456" t="s">
        <v>307</v>
      </c>
      <c r="J2" t="s">
        <v>322</v>
      </c>
      <c r="K2" t="s">
        <v>323</v>
      </c>
      <c r="L2" s="457" t="s">
        <v>318</v>
      </c>
      <c r="M2" s="457" t="s">
        <v>319</v>
      </c>
      <c r="N2" s="457" t="s">
        <v>320</v>
      </c>
      <c r="Q2" s="457" t="s">
        <v>321</v>
      </c>
    </row>
    <row r="3" spans="2:17" x14ac:dyDescent="0.25">
      <c r="B3" s="182" t="s">
        <v>163</v>
      </c>
      <c r="C3" s="182" t="s">
        <v>304</v>
      </c>
      <c r="D3" s="182" t="s">
        <v>305</v>
      </c>
      <c r="E3" s="182" t="s">
        <v>165</v>
      </c>
      <c r="H3" s="453" t="s">
        <v>308</v>
      </c>
      <c r="I3" s="454">
        <v>43</v>
      </c>
      <c r="L3" s="457">
        <v>40.799999999999997</v>
      </c>
      <c r="M3" s="457">
        <v>24.7</v>
      </c>
      <c r="N3" s="457">
        <v>9.99</v>
      </c>
      <c r="Q3" s="457">
        <v>46.97</v>
      </c>
    </row>
    <row r="4" spans="2:17" ht="15.75" x14ac:dyDescent="0.25">
      <c r="B4" s="184" t="s">
        <v>80</v>
      </c>
      <c r="C4" s="185">
        <v>17.420000000000002</v>
      </c>
      <c r="D4" s="185">
        <f>16.62</f>
        <v>16.62</v>
      </c>
      <c r="E4" s="185">
        <v>13.23</v>
      </c>
      <c r="H4" s="453" t="s">
        <v>309</v>
      </c>
      <c r="I4" s="454">
        <v>55</v>
      </c>
    </row>
    <row r="5" spans="2:17" ht="15.75" x14ac:dyDescent="0.25">
      <c r="B5" s="184" t="s">
        <v>288</v>
      </c>
      <c r="C5" s="185">
        <v>17.73</v>
      </c>
      <c r="D5" s="185">
        <v>16.899999999999999</v>
      </c>
      <c r="E5" s="185">
        <v>13.58</v>
      </c>
      <c r="H5" s="453" t="s">
        <v>310</v>
      </c>
      <c r="I5" s="454">
        <v>60</v>
      </c>
    </row>
    <row r="6" spans="2:17" ht="15.75" x14ac:dyDescent="0.25">
      <c r="B6" s="184" t="s">
        <v>289</v>
      </c>
      <c r="C6" s="185">
        <v>18.329999999999998</v>
      </c>
      <c r="D6" s="185">
        <v>17.440000000000001</v>
      </c>
      <c r="E6" s="185">
        <v>14.28</v>
      </c>
      <c r="H6" s="453" t="s">
        <v>311</v>
      </c>
      <c r="I6" s="454">
        <v>60</v>
      </c>
    </row>
    <row r="7" spans="2:17" ht="15.75" x14ac:dyDescent="0.25">
      <c r="B7" s="184" t="s">
        <v>290</v>
      </c>
      <c r="C7" s="190">
        <v>19</v>
      </c>
      <c r="D7" s="190">
        <v>18.12</v>
      </c>
      <c r="E7" s="185">
        <v>14.94</v>
      </c>
      <c r="H7" s="453" t="s">
        <v>312</v>
      </c>
      <c r="I7" s="454">
        <v>69</v>
      </c>
    </row>
    <row r="8" spans="2:17" x14ac:dyDescent="0.25">
      <c r="H8" s="453" t="s">
        <v>313</v>
      </c>
      <c r="I8" s="454">
        <v>63</v>
      </c>
    </row>
    <row r="9" spans="2:17" x14ac:dyDescent="0.25">
      <c r="B9" s="333" t="s">
        <v>367</v>
      </c>
      <c r="C9" s="334"/>
      <c r="D9" s="335"/>
      <c r="H9" s="453" t="s">
        <v>314</v>
      </c>
      <c r="I9" s="454">
        <v>105</v>
      </c>
    </row>
    <row r="10" spans="2:17" x14ac:dyDescent="0.25">
      <c r="B10" s="458" t="s">
        <v>160</v>
      </c>
      <c r="C10" s="459"/>
      <c r="D10" s="460"/>
      <c r="H10" s="453" t="s">
        <v>315</v>
      </c>
      <c r="I10" s="454">
        <v>97</v>
      </c>
    </row>
    <row r="11" spans="2:17" x14ac:dyDescent="0.25">
      <c r="B11" s="461" t="s">
        <v>163</v>
      </c>
      <c r="C11" s="461" t="s">
        <v>164</v>
      </c>
      <c r="D11" s="461" t="s">
        <v>165</v>
      </c>
      <c r="H11" s="453" t="s">
        <v>316</v>
      </c>
      <c r="I11" s="454">
        <v>53</v>
      </c>
    </row>
    <row r="12" spans="2:17" ht="15.75" x14ac:dyDescent="0.25">
      <c r="B12" s="462" t="s">
        <v>80</v>
      </c>
      <c r="C12" s="463">
        <v>23.74</v>
      </c>
      <c r="D12" s="463">
        <v>14.17</v>
      </c>
      <c r="H12" s="453" t="s">
        <v>317</v>
      </c>
      <c r="I12" s="454">
        <v>44</v>
      </c>
    </row>
    <row r="13" spans="2:17" ht="15.75" x14ac:dyDescent="0.25">
      <c r="B13" s="462" t="s">
        <v>91</v>
      </c>
      <c r="C13" s="463">
        <v>24.33</v>
      </c>
      <c r="D13" s="463">
        <v>14.44</v>
      </c>
    </row>
    <row r="14" spans="2:17" ht="15.75" x14ac:dyDescent="0.25">
      <c r="B14" s="462" t="s">
        <v>96</v>
      </c>
      <c r="C14" s="463">
        <v>24.74</v>
      </c>
      <c r="D14" s="463">
        <v>14.61</v>
      </c>
    </row>
    <row r="15" spans="2:17" ht="15.75" x14ac:dyDescent="0.25">
      <c r="B15" s="462" t="s">
        <v>289</v>
      </c>
      <c r="C15" s="463">
        <v>26.08</v>
      </c>
      <c r="D15" s="463">
        <v>15.28</v>
      </c>
    </row>
    <row r="16" spans="2:17" ht="15.75" x14ac:dyDescent="0.25">
      <c r="B16" s="462" t="s">
        <v>122</v>
      </c>
      <c r="C16" s="463">
        <v>26.65</v>
      </c>
      <c r="D16" s="463">
        <v>15.51</v>
      </c>
    </row>
    <row r="17" spans="2:13" ht="15.75" x14ac:dyDescent="0.25">
      <c r="B17" s="462" t="s">
        <v>128</v>
      </c>
      <c r="C17" s="463">
        <v>27.05</v>
      </c>
      <c r="D17" s="463">
        <v>15.7</v>
      </c>
    </row>
    <row r="18" spans="2:13" ht="15.75" x14ac:dyDescent="0.25">
      <c r="B18" s="462" t="s">
        <v>324</v>
      </c>
      <c r="C18" s="463">
        <v>27.48</v>
      </c>
      <c r="D18" s="463">
        <v>15.85</v>
      </c>
    </row>
    <row r="19" spans="2:13" ht="15.75" x14ac:dyDescent="0.25">
      <c r="B19" s="462" t="s">
        <v>325</v>
      </c>
      <c r="C19" s="463">
        <v>28.71</v>
      </c>
      <c r="D19" s="463">
        <v>16.46</v>
      </c>
    </row>
    <row r="20" spans="2:13" ht="15.75" x14ac:dyDescent="0.25">
      <c r="B20" s="462" t="s">
        <v>326</v>
      </c>
      <c r="C20" s="463">
        <v>29.26</v>
      </c>
      <c r="D20" s="463">
        <v>16.71</v>
      </c>
    </row>
    <row r="21" spans="2:13" ht="15.75" x14ac:dyDescent="0.25">
      <c r="B21" s="462" t="s">
        <v>327</v>
      </c>
      <c r="C21" s="464">
        <v>29.86</v>
      </c>
      <c r="D21" s="463">
        <v>16.97</v>
      </c>
    </row>
    <row r="25" spans="2:13" x14ac:dyDescent="0.25">
      <c r="B25" t="str">
        <f>"tipo: tipoNavalha."&amp;C9</f>
        <v>tipo: tipoNavalha.</v>
      </c>
    </row>
    <row r="26" spans="2:13" x14ac:dyDescent="0.25">
      <c r="B26" t="str">
        <f>"tamanho: "&amp;"'"&amp;C9&amp;"'"</f>
        <v>tamanho: ''</v>
      </c>
    </row>
    <row r="28" spans="2:13" x14ac:dyDescent="0.25">
      <c r="B28" s="465" t="str">
        <f>"medida: "&amp;F28</f>
        <v>medida: {largura1: 0,largura2: 23.74,comprimento: 14.17}</v>
      </c>
      <c r="C28" t="str">
        <f>"largura1: "&amp;SUBSTITUTE(0,",",".")</f>
        <v>largura1: 0</v>
      </c>
      <c r="D28" t="str">
        <f>"largura2: "&amp;SUBSTITUTE(C12,",",".")</f>
        <v>largura2: 23.74</v>
      </c>
      <c r="E28" t="str">
        <f>"comprimento: "&amp;SUBSTITUTE(D12,",",".")</f>
        <v>comprimento: 14.17</v>
      </c>
      <c r="F28" t="str">
        <f>"{"&amp;_xlfn.TEXTJOIN(",",,C28:E28)&amp;"}"</f>
        <v>{largura1: 0,largura2: 23.74,comprimento: 14.17}</v>
      </c>
      <c r="G28" t="str">
        <f>"{"&amp;_xlfn.TEXTJOIN(",",,$B$25,$B$26,B28)&amp;"}"</f>
        <v>{tipo: tipoNavalha.,tamanho: '',medida: {largura1: 0,largura2: 23.74,comprimento: 14.17}}</v>
      </c>
      <c r="M28" t="str">
        <f>_xlfn.TEXTJOIN(",",,G28:G37)</f>
        <v>{tipo: tipoNavalha.,tamanho: '',medida: {largura1: 0,largura2: 23.74,comprimento: 14.17}},{tipo: tipoNavalha.,tamanho: '',medida: {largura1: 0,largura2: 24.33,comprimento: 14.44}},{tipo: tipoNavalha.,tamanho: '',medida: {largura1: 0,largura2: 24.74,comprimento: 14.61}},{tipo: tipoNavalha.,tamanho: '',medida: {largura1: 0,largura2: 26.08,comprimento: 15.28}},{tipo: tipoNavalha.,tamanho: '',medida: {largura1: 0,largura2: 26.65,comprimento: 15.51}},{tipo: tipoNavalha.,tamanho: '',medida: {largura1: 0,largura2: 27.05,comprimento: 15.7}},{tipo: tipoNavalha.,tamanho: '',medida: {largura1: 0,largura2: 27.48,comprimento: 15.85}},{tipo: tipoNavalha.,tamanho: '',medida: {largura1: 0,largura2: 28.71,comprimento: 16.46}},{tipo: tipoNavalha.,tamanho: '',medida: {largura1: 0,largura2: 29.26,comprimento: 16.71}},{tipo: tipoNavalha.,tamanho: '',medida: {largura1: 0,largura2: 29.86,comprimento: 16.97}}</v>
      </c>
    </row>
    <row r="29" spans="2:13" x14ac:dyDescent="0.25">
      <c r="B29" s="465" t="str">
        <f t="shared" ref="B29:B38" si="0">"medida: "&amp;F29</f>
        <v>medida: {largura1: 0,largura2: 24.33,comprimento: 14.44}</v>
      </c>
      <c r="C29" t="str">
        <f t="shared" ref="C29:C38" si="1">"largura1: "&amp;0</f>
        <v>largura1: 0</v>
      </c>
      <c r="D29" t="str">
        <f t="shared" ref="D29:D37" si="2">"largura2: "&amp;SUBSTITUTE(C13,",",".")</f>
        <v>largura2: 24.33</v>
      </c>
      <c r="E29" t="str">
        <f t="shared" ref="E29:E37" si="3">"comprimento: "&amp;SUBSTITUTE(D13,",",".")</f>
        <v>comprimento: 14.44</v>
      </c>
      <c r="F29" t="str">
        <f t="shared" ref="F29:F38" si="4">"{"&amp;_xlfn.TEXTJOIN(",",,C29:E29)&amp;"}"</f>
        <v>{largura1: 0,largura2: 24.33,comprimento: 14.44}</v>
      </c>
      <c r="G29" t="str">
        <f t="shared" ref="G29:G38" si="5">"{"&amp;_xlfn.TEXTJOIN(",",,$B$25,$B$26,B29)&amp;"}"</f>
        <v>{tipo: tipoNavalha.,tamanho: '',medida: {largura1: 0,largura2: 24.33,comprimento: 14.44}}</v>
      </c>
    </row>
    <row r="30" spans="2:13" x14ac:dyDescent="0.25">
      <c r="B30" s="465" t="str">
        <f t="shared" si="0"/>
        <v>medida: {largura1: 0,largura2: 24.74,comprimento: 14.61}</v>
      </c>
      <c r="C30" t="str">
        <f t="shared" si="1"/>
        <v>largura1: 0</v>
      </c>
      <c r="D30" t="str">
        <f t="shared" si="2"/>
        <v>largura2: 24.74</v>
      </c>
      <c r="E30" t="str">
        <f t="shared" si="3"/>
        <v>comprimento: 14.61</v>
      </c>
      <c r="F30" t="str">
        <f t="shared" si="4"/>
        <v>{largura1: 0,largura2: 24.74,comprimento: 14.61}</v>
      </c>
      <c r="G30" t="str">
        <f t="shared" si="5"/>
        <v>{tipo: tipoNavalha.,tamanho: '',medida: {largura1: 0,largura2: 24.74,comprimento: 14.61}}</v>
      </c>
    </row>
    <row r="31" spans="2:13" x14ac:dyDescent="0.25">
      <c r="B31" s="465" t="str">
        <f t="shared" si="0"/>
        <v>medida: {largura1: 0,largura2: 26.08,comprimento: 15.28}</v>
      </c>
      <c r="C31" t="str">
        <f t="shared" si="1"/>
        <v>largura1: 0</v>
      </c>
      <c r="D31" t="str">
        <f t="shared" si="2"/>
        <v>largura2: 26.08</v>
      </c>
      <c r="E31" t="str">
        <f t="shared" si="3"/>
        <v>comprimento: 15.28</v>
      </c>
      <c r="F31" t="str">
        <f t="shared" si="4"/>
        <v>{largura1: 0,largura2: 26.08,comprimento: 15.28}</v>
      </c>
      <c r="G31" t="str">
        <f t="shared" si="5"/>
        <v>{tipo: tipoNavalha.,tamanho: '',medida: {largura1: 0,largura2: 26.08,comprimento: 15.28}}</v>
      </c>
    </row>
    <row r="32" spans="2:13" x14ac:dyDescent="0.25">
      <c r="B32" s="465" t="str">
        <f t="shared" si="0"/>
        <v>medida: {largura1: 0,largura2: 26.65,comprimento: 15.51}</v>
      </c>
      <c r="C32" t="str">
        <f t="shared" si="1"/>
        <v>largura1: 0</v>
      </c>
      <c r="D32" t="str">
        <f t="shared" si="2"/>
        <v>largura2: 26.65</v>
      </c>
      <c r="E32" t="str">
        <f t="shared" si="3"/>
        <v>comprimento: 15.51</v>
      </c>
      <c r="F32" t="str">
        <f t="shared" si="4"/>
        <v>{largura1: 0,largura2: 26.65,comprimento: 15.51}</v>
      </c>
      <c r="G32" t="str">
        <f t="shared" si="5"/>
        <v>{tipo: tipoNavalha.,tamanho: '',medida: {largura1: 0,largura2: 26.65,comprimento: 15.51}}</v>
      </c>
    </row>
    <row r="33" spans="2:7" x14ac:dyDescent="0.25">
      <c r="B33" s="465" t="str">
        <f t="shared" si="0"/>
        <v>medida: {largura1: 0,largura2: 27.05,comprimento: 15.7}</v>
      </c>
      <c r="C33" t="str">
        <f t="shared" si="1"/>
        <v>largura1: 0</v>
      </c>
      <c r="D33" t="str">
        <f t="shared" si="2"/>
        <v>largura2: 27.05</v>
      </c>
      <c r="E33" t="str">
        <f t="shared" si="3"/>
        <v>comprimento: 15.7</v>
      </c>
      <c r="F33" t="str">
        <f t="shared" si="4"/>
        <v>{largura1: 0,largura2: 27.05,comprimento: 15.7}</v>
      </c>
      <c r="G33" t="str">
        <f t="shared" si="5"/>
        <v>{tipo: tipoNavalha.,tamanho: '',medida: {largura1: 0,largura2: 27.05,comprimento: 15.7}}</v>
      </c>
    </row>
    <row r="34" spans="2:7" x14ac:dyDescent="0.25">
      <c r="B34" s="465" t="str">
        <f t="shared" si="0"/>
        <v>medida: {largura1: 0,largura2: 27.48,comprimento: 15.85}</v>
      </c>
      <c r="C34" t="str">
        <f t="shared" si="1"/>
        <v>largura1: 0</v>
      </c>
      <c r="D34" t="str">
        <f t="shared" si="2"/>
        <v>largura2: 27.48</v>
      </c>
      <c r="E34" t="str">
        <f t="shared" si="3"/>
        <v>comprimento: 15.85</v>
      </c>
      <c r="F34" t="str">
        <f t="shared" si="4"/>
        <v>{largura1: 0,largura2: 27.48,comprimento: 15.85}</v>
      </c>
      <c r="G34" t="str">
        <f t="shared" si="5"/>
        <v>{tipo: tipoNavalha.,tamanho: '',medida: {largura1: 0,largura2: 27.48,comprimento: 15.85}}</v>
      </c>
    </row>
    <row r="35" spans="2:7" x14ac:dyDescent="0.25">
      <c r="B35" s="465" t="str">
        <f t="shared" si="0"/>
        <v>medida: {largura1: 0,largura2: 28.71,comprimento: 16.46}</v>
      </c>
      <c r="C35" t="str">
        <f t="shared" si="1"/>
        <v>largura1: 0</v>
      </c>
      <c r="D35" t="str">
        <f t="shared" si="2"/>
        <v>largura2: 28.71</v>
      </c>
      <c r="E35" t="str">
        <f t="shared" si="3"/>
        <v>comprimento: 16.46</v>
      </c>
      <c r="F35" t="str">
        <f t="shared" si="4"/>
        <v>{largura1: 0,largura2: 28.71,comprimento: 16.46}</v>
      </c>
      <c r="G35" t="str">
        <f t="shared" si="5"/>
        <v>{tipo: tipoNavalha.,tamanho: '',medida: {largura1: 0,largura2: 28.71,comprimento: 16.46}}</v>
      </c>
    </row>
    <row r="36" spans="2:7" x14ac:dyDescent="0.25">
      <c r="B36" s="465" t="str">
        <f t="shared" si="0"/>
        <v>medida: {largura1: 0,largura2: 29.26,comprimento: 16.71}</v>
      </c>
      <c r="C36" t="str">
        <f t="shared" si="1"/>
        <v>largura1: 0</v>
      </c>
      <c r="D36" t="str">
        <f t="shared" si="2"/>
        <v>largura2: 29.26</v>
      </c>
      <c r="E36" t="str">
        <f t="shared" si="3"/>
        <v>comprimento: 16.71</v>
      </c>
      <c r="F36" t="str">
        <f t="shared" si="4"/>
        <v>{largura1: 0,largura2: 29.26,comprimento: 16.71}</v>
      </c>
      <c r="G36" t="str">
        <f t="shared" si="5"/>
        <v>{tipo: tipoNavalha.,tamanho: '',medida: {largura1: 0,largura2: 29.26,comprimento: 16.71}}</v>
      </c>
    </row>
    <row r="37" spans="2:7" x14ac:dyDescent="0.25">
      <c r="B37" s="465" t="str">
        <f t="shared" si="0"/>
        <v>medida: {largura1: 0,largura2: 29.86,comprimento: 16.97}</v>
      </c>
      <c r="C37" t="str">
        <f t="shared" si="1"/>
        <v>largura1: 0</v>
      </c>
      <c r="D37" t="str">
        <f t="shared" si="2"/>
        <v>largura2: 29.86</v>
      </c>
      <c r="E37" t="str">
        <f t="shared" si="3"/>
        <v>comprimento: 16.97</v>
      </c>
      <c r="F37" t="str">
        <f t="shared" si="4"/>
        <v>{largura1: 0,largura2: 29.86,comprimento: 16.97}</v>
      </c>
      <c r="G37" t="str">
        <f t="shared" si="5"/>
        <v>{tipo: tipoNavalha.,tamanho: '',medida: {largura1: 0,largura2: 29.86,comprimento: 16.97}}</v>
      </c>
    </row>
    <row r="38" spans="2:7" x14ac:dyDescent="0.25">
      <c r="B38" s="465"/>
    </row>
  </sheetData>
  <mergeCells count="4">
    <mergeCell ref="B2:E2"/>
    <mergeCell ref="B10:D10"/>
    <mergeCell ref="B1:E1"/>
    <mergeCell ref="B9:D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&amp;L_x000D_&amp;1#&amp;"Aptos"&amp;10&amp;K000000 Classificação Privada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EA719-479D-4D46-8D85-11D4963FE325}">
  <sheetPr codeName="PLAN22"/>
  <dimension ref="B1:FI444"/>
  <sheetViews>
    <sheetView showGridLines="0" showZeros="0" zoomScale="70" zoomScaleNormal="70" zoomScaleSheetLayoutView="70" workbookViewId="0">
      <selection activeCell="H11" sqref="H11:J12"/>
    </sheetView>
  </sheetViews>
  <sheetFormatPr defaultColWidth="6.7109375" defaultRowHeight="12.75" x14ac:dyDescent="0.2"/>
  <cols>
    <col min="1" max="1" width="2.140625" style="1" customWidth="1"/>
    <col min="2" max="2" width="0.7109375" style="1" customWidth="1"/>
    <col min="3" max="3" width="14.5703125" style="1" customWidth="1"/>
    <col min="4" max="4" width="11.140625" style="1" customWidth="1"/>
    <col min="5" max="5" width="16.42578125" style="1" customWidth="1"/>
    <col min="6" max="6" width="18.28515625" style="1" customWidth="1"/>
    <col min="7" max="7" width="12.7109375" style="1" customWidth="1"/>
    <col min="8" max="8" width="22.140625" style="1" customWidth="1"/>
    <col min="9" max="9" width="9.42578125" style="1" customWidth="1"/>
    <col min="10" max="10" width="14.7109375" style="1" customWidth="1"/>
    <col min="11" max="11" width="17.42578125" style="1" customWidth="1"/>
    <col min="12" max="12" width="11.7109375" style="1" customWidth="1"/>
    <col min="13" max="13" width="11.28515625" style="1" customWidth="1"/>
    <col min="14" max="14" width="1" style="1" customWidth="1"/>
    <col min="15" max="15" width="1.140625" style="1" customWidth="1"/>
    <col min="16" max="16" width="2.85546875" style="1" customWidth="1"/>
    <col min="17" max="17" width="6.7109375" style="1" hidden="1" customWidth="1"/>
    <col min="18" max="18" width="2" style="1" hidden="1" customWidth="1"/>
    <col min="19" max="19" width="3.28515625" style="1" hidden="1" customWidth="1"/>
    <col min="20" max="23" width="7.140625" style="1" hidden="1" customWidth="1"/>
    <col min="24" max="24" width="0.42578125" style="1" hidden="1" customWidth="1"/>
    <col min="25" max="25" width="4.28515625" style="1" hidden="1" customWidth="1"/>
    <col min="26" max="36" width="7.140625" style="1" hidden="1" customWidth="1"/>
    <col min="37" max="37" width="10.42578125" style="1" hidden="1" customWidth="1"/>
    <col min="38" max="39" width="7.140625" style="1" hidden="1" customWidth="1"/>
    <col min="40" max="40" width="0.42578125" style="1" hidden="1" customWidth="1"/>
    <col min="41" max="41" width="24.85546875" style="1" hidden="1" customWidth="1"/>
    <col min="42" max="42" width="6.7109375" style="1" hidden="1" customWidth="1"/>
    <col min="43" max="43" width="7.42578125" style="1" hidden="1" customWidth="1"/>
    <col min="44" max="45" width="6.7109375" style="1" hidden="1" customWidth="1"/>
    <col min="46" max="46" width="11" style="1" hidden="1" customWidth="1"/>
    <col min="47" max="51" width="8.5703125" style="1" hidden="1" customWidth="1"/>
    <col min="52" max="52" width="7.7109375" style="1" hidden="1" customWidth="1"/>
    <col min="53" max="54" width="6.42578125" style="1" hidden="1" customWidth="1"/>
    <col min="55" max="55" width="0.42578125" style="1" hidden="1" customWidth="1"/>
    <col min="56" max="56" width="20.28515625" style="1" hidden="1" customWidth="1"/>
    <col min="57" max="57" width="21.28515625" style="1" hidden="1" customWidth="1"/>
    <col min="58" max="61" width="8.5703125" style="1" hidden="1" customWidth="1"/>
    <col min="62" max="62" width="13.85546875" style="1" hidden="1" customWidth="1"/>
    <col min="63" max="64" width="10.140625" style="1" hidden="1" customWidth="1"/>
    <col min="65" max="65" width="0.42578125" style="1" hidden="1" customWidth="1"/>
    <col min="66" max="66" width="11" style="1" hidden="1" customWidth="1"/>
    <col min="67" max="71" width="8.5703125" style="1" hidden="1" customWidth="1"/>
    <col min="72" max="72" width="7.5703125" style="1" hidden="1" customWidth="1"/>
    <col min="73" max="73" width="6.42578125" style="1" hidden="1" customWidth="1"/>
    <col min="74" max="74" width="9.28515625" style="1" hidden="1" customWidth="1"/>
    <col min="75" max="81" width="6.7109375" style="1" hidden="1" customWidth="1"/>
    <col min="82" max="84" width="10.140625" style="1" hidden="1" customWidth="1"/>
    <col min="85" max="98" width="6.7109375" style="1" hidden="1" customWidth="1"/>
    <col min="99" max="99" width="9" style="1" hidden="1" customWidth="1"/>
    <col min="100" max="100" width="10.5703125" style="1" hidden="1" customWidth="1"/>
    <col min="101" max="108" width="6.7109375" style="1" hidden="1" customWidth="1"/>
    <col min="109" max="110" width="11.5703125" style="1" hidden="1" customWidth="1"/>
    <col min="111" max="113" width="6.7109375" style="1" hidden="1" customWidth="1"/>
    <col min="114" max="114" width="26.42578125" style="1" hidden="1" customWidth="1"/>
    <col min="115" max="115" width="26.5703125" style="1" hidden="1" customWidth="1"/>
    <col min="116" max="116" width="9" style="1" hidden="1" customWidth="1"/>
    <col min="117" max="117" width="12.85546875" style="1" hidden="1" customWidth="1"/>
    <col min="118" max="118" width="9.140625" style="1" hidden="1" customWidth="1"/>
    <col min="119" max="119" width="22.140625" style="1" hidden="1" customWidth="1"/>
    <col min="120" max="120" width="12.42578125" style="1" hidden="1" customWidth="1"/>
    <col min="121" max="121" width="13.85546875" style="1" hidden="1" customWidth="1"/>
    <col min="122" max="148" width="6.7109375" style="1" hidden="1" customWidth="1"/>
    <col min="149" max="149" width="6.7109375" style="1" customWidth="1"/>
    <col min="150" max="150" width="8.85546875" style="1" bestFit="1" customWidth="1"/>
    <col min="151" max="151" width="9.7109375" style="1" bestFit="1" customWidth="1"/>
    <col min="152" max="177" width="6.7109375" style="1" customWidth="1"/>
    <col min="178" max="16384" width="6.7109375" style="1"/>
  </cols>
  <sheetData>
    <row r="1" spans="2:165" ht="36" customHeight="1" thickBot="1" x14ac:dyDescent="0.3">
      <c r="AK1" s="2">
        <f>AVERAGE(K27:L27)</f>
        <v>28.74</v>
      </c>
      <c r="AN1" s="2">
        <f>AVERAGE(K27:L27)</f>
        <v>28.74</v>
      </c>
      <c r="CS1" s="3"/>
      <c r="CT1" s="434" t="s">
        <v>0</v>
      </c>
      <c r="CU1" s="435"/>
      <c r="CV1" s="436"/>
      <c r="CW1" s="4"/>
      <c r="CX1" s="434" t="s">
        <v>1</v>
      </c>
      <c r="CY1" s="435"/>
      <c r="CZ1" s="436"/>
      <c r="DA1" s="3"/>
    </row>
    <row r="2" spans="2:165" ht="4.5" customHeight="1" x14ac:dyDescent="0.25"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7"/>
      <c r="CS2" s="3"/>
      <c r="CT2" s="8" t="s">
        <v>2</v>
      </c>
      <c r="CU2" s="437">
        <v>35</v>
      </c>
      <c r="CV2" s="438"/>
      <c r="CW2" s="9"/>
      <c r="CX2" s="8" t="s">
        <v>2</v>
      </c>
      <c r="CY2" s="439">
        <f>MAX(K27:K37)</f>
        <v>0</v>
      </c>
      <c r="CZ2" s="440"/>
      <c r="DA2" s="3"/>
    </row>
    <row r="3" spans="2:165" ht="38.25" customHeight="1" x14ac:dyDescent="0.25">
      <c r="B3" s="10"/>
      <c r="C3" s="441" t="s">
        <v>3</v>
      </c>
      <c r="D3" s="442"/>
      <c r="E3" s="443"/>
      <c r="F3" s="11" t="s">
        <v>4</v>
      </c>
      <c r="G3" s="11"/>
      <c r="H3" s="12"/>
      <c r="I3" s="12"/>
      <c r="J3" s="13"/>
      <c r="K3" s="13"/>
      <c r="L3" s="13"/>
      <c r="M3" s="13"/>
      <c r="N3" s="14"/>
      <c r="S3" s="15" t="s">
        <v>5</v>
      </c>
      <c r="T3" s="16"/>
      <c r="U3" s="16"/>
      <c r="V3" s="16"/>
      <c r="W3" s="17"/>
      <c r="X3" s="18"/>
      <c r="Y3" s="15" t="s">
        <v>6</v>
      </c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>
        <f>IF(AK1&gt;25,4,6)</f>
        <v>4</v>
      </c>
      <c r="AL3" s="19"/>
      <c r="AM3" s="20"/>
      <c r="AN3" s="21"/>
      <c r="AO3" s="15" t="s">
        <v>7</v>
      </c>
      <c r="AP3" s="22"/>
      <c r="AQ3" s="23"/>
      <c r="AT3" s="24" t="s">
        <v>8</v>
      </c>
      <c r="AU3" s="25"/>
      <c r="AV3" s="25"/>
      <c r="AW3" s="25"/>
      <c r="AX3" s="25"/>
      <c r="AY3" s="447" t="s">
        <v>9</v>
      </c>
      <c r="AZ3" s="447"/>
      <c r="BA3" s="447"/>
      <c r="BB3" s="447"/>
      <c r="CS3" s="3"/>
      <c r="CT3" s="26" t="s">
        <v>10</v>
      </c>
      <c r="CU3" s="422">
        <v>56</v>
      </c>
      <c r="CV3" s="423"/>
      <c r="CW3" s="9"/>
      <c r="CX3" s="26" t="s">
        <v>10</v>
      </c>
      <c r="CY3" s="424">
        <f>MAX(L27:L37)</f>
        <v>33.369999999999997</v>
      </c>
      <c r="CZ3" s="425"/>
      <c r="DA3" s="3"/>
    </row>
    <row r="4" spans="2:165" ht="21.95" customHeight="1" x14ac:dyDescent="0.25">
      <c r="B4" s="10"/>
      <c r="C4" s="444"/>
      <c r="D4" s="445"/>
      <c r="E4" s="446"/>
      <c r="F4" s="27" t="s">
        <v>11</v>
      </c>
      <c r="G4" s="28"/>
      <c r="H4" s="29"/>
      <c r="K4" s="30" t="s">
        <v>12</v>
      </c>
      <c r="L4" s="31"/>
      <c r="N4" s="14"/>
      <c r="S4" s="32" t="s">
        <v>13</v>
      </c>
      <c r="T4" s="33" t="s">
        <v>14</v>
      </c>
      <c r="U4" s="34" t="s">
        <v>2</v>
      </c>
      <c r="V4" s="34" t="s">
        <v>15</v>
      </c>
      <c r="W4" s="34" t="s">
        <v>16</v>
      </c>
      <c r="X4" s="18"/>
      <c r="Y4" s="33" t="s">
        <v>17</v>
      </c>
      <c r="Z4" s="35" t="s">
        <v>18</v>
      </c>
      <c r="AA4" s="35" t="s">
        <v>19</v>
      </c>
      <c r="AB4" s="35" t="s">
        <v>20</v>
      </c>
      <c r="AC4" s="33" t="s">
        <v>18</v>
      </c>
      <c r="AD4" s="33" t="s">
        <v>21</v>
      </c>
      <c r="AE4" s="33" t="s">
        <v>20</v>
      </c>
      <c r="AF4" s="35" t="s">
        <v>18</v>
      </c>
      <c r="AG4" s="35" t="s">
        <v>22</v>
      </c>
      <c r="AH4" s="35" t="s">
        <v>20</v>
      </c>
      <c r="AI4" s="33" t="s">
        <v>23</v>
      </c>
      <c r="AJ4" s="36" t="s">
        <v>24</v>
      </c>
      <c r="AK4" s="36" t="s">
        <v>25</v>
      </c>
      <c r="AL4" s="37" t="s">
        <v>26</v>
      </c>
      <c r="AM4" s="37" t="s">
        <v>27</v>
      </c>
      <c r="AN4" s="21"/>
      <c r="AO4" s="448" t="s">
        <v>28</v>
      </c>
      <c r="AP4" s="449"/>
      <c r="AQ4" s="450"/>
      <c r="AT4" s="38" t="s">
        <v>29</v>
      </c>
      <c r="AU4" s="418"/>
      <c r="AV4" s="419"/>
      <c r="AW4" s="419"/>
      <c r="AX4" s="420"/>
      <c r="AY4" s="421"/>
      <c r="AZ4" s="421"/>
      <c r="BA4" s="421"/>
      <c r="BB4" s="421"/>
      <c r="CS4" s="3"/>
      <c r="CT4" s="26" t="s">
        <v>30</v>
      </c>
      <c r="CU4" s="422">
        <v>16</v>
      </c>
      <c r="CV4" s="423"/>
      <c r="CW4" s="9"/>
      <c r="CX4" s="26" t="s">
        <v>31</v>
      </c>
      <c r="CY4" s="424" t="e">
        <f>(VLOOKUP(H14,BD72:BG448,4,FALSE)/10)</f>
        <v>#N/A</v>
      </c>
      <c r="CZ4" s="425"/>
      <c r="DA4" s="3"/>
      <c r="DJ4" s="347" t="s">
        <v>32</v>
      </c>
      <c r="DK4" s="347"/>
      <c r="DL4" s="40"/>
      <c r="DM4" s="39" t="s">
        <v>33</v>
      </c>
      <c r="DN4" s="41" t="s">
        <v>34</v>
      </c>
      <c r="DO4" s="41" t="s">
        <v>35</v>
      </c>
      <c r="DP4" s="42" t="s">
        <v>36</v>
      </c>
    </row>
    <row r="5" spans="2:165" ht="21.95" customHeight="1" thickBot="1" x14ac:dyDescent="0.3">
      <c r="B5" s="10"/>
      <c r="C5" s="444"/>
      <c r="D5" s="445"/>
      <c r="E5" s="446"/>
      <c r="F5" s="43" t="s">
        <v>37</v>
      </c>
      <c r="G5" s="28"/>
      <c r="H5" s="44"/>
      <c r="K5" s="30" t="s">
        <v>38</v>
      </c>
      <c r="L5" s="31"/>
      <c r="N5" s="14"/>
      <c r="S5" s="45" t="s">
        <v>39</v>
      </c>
      <c r="T5" s="46" t="str">
        <f t="shared" ref="T5:V14" si="0">IF(J27="","",J27)</f>
        <v>334</v>
      </c>
      <c r="U5" s="47" t="str">
        <f t="shared" si="0"/>
        <v>19,86+17,88</v>
      </c>
      <c r="V5" s="47">
        <f t="shared" si="0"/>
        <v>28.74</v>
      </c>
      <c r="W5" s="47" t="e">
        <f>U5*V5</f>
        <v>#VALUE!</v>
      </c>
      <c r="X5" s="48"/>
      <c r="Y5" s="45" t="s">
        <v>39</v>
      </c>
      <c r="Z5" s="49">
        <f>IFERROR(IF(VLOOKUP($Y5,$C$45:$M$54,2,0)=0,"",VLOOKUP($Y5,$C$45:$M$54,2,0)),"")</f>
        <v>6</v>
      </c>
      <c r="AA5" s="49">
        <f t="shared" ref="AA5:AA14" si="1">IFERROR(IF(VLOOKUP($Y5,$C$45:$M$54,3,0)=0,"",VLOOKUP($Y5,$C$45:$M$54,3,0)),"")</f>
        <v>40</v>
      </c>
      <c r="AB5" s="49" t="str">
        <f t="shared" ref="AB5:AB14" si="2">IFERROR(IF(VLOOKUP($Y5,$C$45:$M$54,4,0)=0,"",VLOOKUP($Y5,$C$45:$M$54,4,0)),"")</f>
        <v>L</v>
      </c>
      <c r="AC5" s="49" t="str">
        <f t="shared" ref="AC5:AC14" si="3">IFERROR(IF(VLOOKUP($Y5,$C$45:$M$54,5,0)=0,"",VLOOKUP($Y5,$C$45:$M$54,5,0)),"")</f>
        <v/>
      </c>
      <c r="AD5" s="49" t="str">
        <f t="shared" ref="AD5:AD14" si="4">IFERROR(IF(VLOOKUP($Y5,$C$45:$M$54,6,0)=0,"",VLOOKUP($Y5,$C$45:$M$54,6,0)),"")</f>
        <v/>
      </c>
      <c r="AE5" s="49" t="str">
        <f t="shared" ref="AE5:AE14" si="5">IFERROR(IF(VLOOKUP($Y5,$C$45:$M$54,7,0)=0,"",VLOOKUP($Y5,$C$45:$M$54,7,0)),"")</f>
        <v/>
      </c>
      <c r="AF5" s="49" t="str">
        <f t="shared" ref="AF5:AF14" si="6">IFERROR(IF(VLOOKUP($Y5,$C$45:$M$54,8,0)=0,"",VLOOKUP($Y5,$C$45:$M$54,8,0)),"")</f>
        <v/>
      </c>
      <c r="AG5" s="49" t="str">
        <f t="shared" ref="AG5:AG14" si="7">IFERROR(IF(VLOOKUP($Y5,$C$45:$M$54,9,0)=0,"",VLOOKUP($Y5,$C$45:$M$54,9,0)),"")</f>
        <v/>
      </c>
      <c r="AH5" s="49" t="str">
        <f t="shared" ref="AH5:AH14" si="8">IFERROR(IF(VLOOKUP($Y5,$C$45:$M$54,10,0)=0,"",VLOOKUP($Y5,$C$45:$M$54,10,0)),"")</f>
        <v/>
      </c>
      <c r="AI5" s="49" t="str">
        <f t="shared" ref="AI5:AI14" si="9">IFERROR(IF(VLOOKUP($Y5,$C$45:$M$54,11,0)=0,"",VLOOKUP($Y5,$C$45:$M$54,11,0)),"")</f>
        <v>119,7</v>
      </c>
      <c r="AJ5" s="50">
        <f>IFERROR((SUM(AC5,Z5,AF5)*$AQ$6),0)</f>
        <v>0</v>
      </c>
      <c r="AK5" s="50" t="str">
        <f>IF(AND(AC5="",AF5=""),"-",IF(AND(AC5&lt;&gt;"",AF5=""),IF(AD5&lt;&gt;AA5,AC5*$AQ$6*$AQ$5,"-"),IF(AG5&lt;&gt;AA5,AF5*$AQ$6*$AQ$5,IF(AND(AC5&lt;&gt;"",AF5&lt;&gt;""),IF(AND(AD5&lt;&gt;AA5,AG5&lt;&gt;AA5),SUM(AF5,AC5)*$AQ$6*$AQ$5,"-"),"-"))))</f>
        <v>-</v>
      </c>
      <c r="AL5" s="51">
        <f>IFERROR(IF(AND(AA5="",AD5="",AG5=""),"-",IF(AND(AG5="",AD5=""),1,IF(AND(AG5="",AD5=AA5),1,IF(AND(AG5="",AD5&lt;&gt;AA5),2,IF(AND(AG5=AD5,AD5=AA5),1,IF(AND(AG5=AD5,AD5&lt;&gt;AA5),2,IF(AND(AD5=AA5,AD5&lt;&gt;AG5),2,IF(AND(AA5=AG5,AA5&lt;&gt;AD5),2,IF(AND(AA5&lt;&gt;AD5,AD5&lt;&gt;AG5),3,"Verificar"))))))))),"-")</f>
        <v>1</v>
      </c>
      <c r="AM5" s="51">
        <f>IFERROR(IF(AND(AG5="",AD5=""),IF(AND(VLOOKUP(TEXT(AA5,"@"),$T$5:$V$14,2,FALSE)&lt;=22.5,
VLOOKUP(TEXT(AA5,"@"),$T$5:$V$14,3,FALSE)&lt;=22.5),Z5*2,Z5),
IF(AG5="",IF(AND(VLOOKUP(TEXT(AA5,"@"),$T$5:$V$14,2,FALSE)&lt;=22.5,
VLOOKUP(TEXT(AA5,"@"),$T$5:$V$14,3,FALSE)&lt;=22.5),Z5*2,Z5)+IF(AND(VLOOKUP(TEXT(AD5,"@"),$T$5:$V$14,2,FALSE)&lt;=22.5,
VLOOKUP(TEXT(AD5,"@"),$T$5:$V$14,3,0)&lt;=22.5),AC5*2,AC5),
IF(AND(VLOOKUP(TEXT(AA5,"@"),$T$5:$V$14,2,FALSE)&lt;=22.5,
VLOOKUP(TEXT(AA5,"@"),$T$5:$V$14,3,FALSE)&lt;=22.5),Z5*2,Z5)+IF(AND(VLOOKUP(TEXT(AD5,"@"),$T$5:$V$14,2,FALSE)&lt;=22.5,
VLOOKUP(TEXT(AD5,"@"),$T$5:$V$14,3,0)&lt;=22.5),AC5*2,AC5)+IF(AND(VLOOKUP(TEXT(AG5,"@"),$T$5:$V$14,2,FALSE)&lt;=22.5,
VLOOKUP(TEXT(AG5,"@"),$T$5:$V$14,3,FALSE)&lt;=22.5),
AF5*2,AF5))),"-")</f>
        <v>6</v>
      </c>
      <c r="AN5" s="21"/>
      <c r="AO5" s="52" t="s">
        <v>40</v>
      </c>
      <c r="AP5" s="53"/>
      <c r="AQ5" s="53" t="str">
        <f>D11</f>
        <v>0,5</v>
      </c>
      <c r="AT5" s="38" t="s">
        <v>41</v>
      </c>
      <c r="AU5" s="418"/>
      <c r="AV5" s="419"/>
      <c r="AW5" s="419"/>
      <c r="AX5" s="420"/>
      <c r="AY5" s="421"/>
      <c r="AZ5" s="421"/>
      <c r="BA5" s="421"/>
      <c r="BB5" s="421"/>
      <c r="CS5" s="3"/>
      <c r="CT5" s="54" t="s">
        <v>42</v>
      </c>
      <c r="CU5" s="426">
        <v>31360</v>
      </c>
      <c r="CV5" s="427"/>
      <c r="CW5" s="9"/>
      <c r="CX5" s="54" t="s">
        <v>42</v>
      </c>
      <c r="CY5" s="426" t="e">
        <f>PRODUCT(CY2:CZ4)</f>
        <v>#N/A</v>
      </c>
      <c r="CZ5" s="427"/>
      <c r="DA5" s="3"/>
      <c r="DJ5" s="41" t="s">
        <v>43</v>
      </c>
      <c r="DK5" s="55">
        <v>15000</v>
      </c>
      <c r="DL5" s="40"/>
      <c r="DM5" s="56">
        <v>44355.643425925926</v>
      </c>
      <c r="DN5" s="57" t="s">
        <v>44</v>
      </c>
      <c r="DO5" s="58">
        <v>44354.544166666667</v>
      </c>
      <c r="DP5" s="59">
        <v>15000</v>
      </c>
      <c r="FE5" s="60"/>
      <c r="FF5" s="60"/>
      <c r="FG5" s="60"/>
      <c r="FH5" s="60"/>
      <c r="FI5" s="60"/>
    </row>
    <row r="6" spans="2:165" ht="21.95" customHeight="1" x14ac:dyDescent="0.25">
      <c r="B6" s="10"/>
      <c r="C6" s="444"/>
      <c r="D6" s="445"/>
      <c r="E6" s="446"/>
      <c r="F6" s="27"/>
      <c r="G6" s="28"/>
      <c r="H6" s="29"/>
      <c r="K6" s="30" t="s">
        <v>45</v>
      </c>
      <c r="L6" s="31"/>
      <c r="N6" s="14"/>
      <c r="S6" s="45" t="s">
        <v>46</v>
      </c>
      <c r="T6" s="46" t="str">
        <f t="shared" si="0"/>
        <v>35</v>
      </c>
      <c r="U6" s="47" t="str">
        <f t="shared" si="0"/>
        <v>20,24+18,17</v>
      </c>
      <c r="V6" s="47">
        <f t="shared" si="0"/>
        <v>29.55</v>
      </c>
      <c r="W6" s="47" t="e">
        <f t="shared" ref="W6:W14" si="10">U6*V6</f>
        <v>#VALUE!</v>
      </c>
      <c r="X6" s="48"/>
      <c r="Y6" s="45" t="s">
        <v>46</v>
      </c>
      <c r="Z6" s="49">
        <f t="shared" ref="Z6:Z14" si="11">IFERROR(IF(VLOOKUP($Y6,$C$45:$M$54,2,0)=0,"",VLOOKUP($Y6,$C$45:$M$54,2,0)),"")</f>
        <v>6</v>
      </c>
      <c r="AA6" s="49">
        <f t="shared" si="1"/>
        <v>39</v>
      </c>
      <c r="AB6" s="49" t="str">
        <f t="shared" si="2"/>
        <v>L</v>
      </c>
      <c r="AC6" s="49" t="str">
        <f t="shared" si="3"/>
        <v/>
      </c>
      <c r="AD6" s="49" t="str">
        <f t="shared" si="4"/>
        <v/>
      </c>
      <c r="AE6" s="49" t="str">
        <f t="shared" si="5"/>
        <v/>
      </c>
      <c r="AF6" s="49" t="str">
        <f t="shared" si="6"/>
        <v/>
      </c>
      <c r="AG6" s="49" t="str">
        <f t="shared" si="7"/>
        <v/>
      </c>
      <c r="AH6" s="49" t="str">
        <f t="shared" si="8"/>
        <v/>
      </c>
      <c r="AI6" s="49" t="str">
        <f t="shared" si="9"/>
        <v>117,7</v>
      </c>
      <c r="AJ6" s="50">
        <f t="shared" ref="AJ6:AJ14" si="12">IFERROR((SUM(AC6,Z6,AF6)*$AQ$6),0)</f>
        <v>0</v>
      </c>
      <c r="AK6" s="50" t="str">
        <f>IF(AND(AC6="",AF6=""),"-",IF(AND(AC6&lt;&gt;"",AF6=""),IF(AD6&lt;&gt;AA6,AC6*$AQ$6*$AQ$5,"-"),IF(AG6&lt;&gt;AA6,AF6*$AQ$6*$AQ$5,IF(AND(AC6&lt;&gt;"",AF6&lt;&gt;""),IF(AND(AD6&lt;&gt;AA6,AG6&lt;&gt;AA6),SUM(AF6,AC6)*$AQ$6*$AQ$5,"-"),"-"))))</f>
        <v>-</v>
      </c>
      <c r="AL6" s="51">
        <f t="shared" ref="AL6:AL14" si="13">IFERROR(IF(AND(AA6="",AD6="",AG6=""),"-",IF(AND(AG6="",AD6=""),1,IF(AND(AG6="",AD6=AA6),1,IF(AND(AG6="",AD6&lt;&gt;AA6),2,IF(AND(AG6=AD6,AD6=AA6),1,IF(AND(AG6=AD6,AD6&lt;&gt;AA6),2,IF(AND(AD6=AA6,AD6&lt;&gt;AG6),2,IF(AND(AA6=AG6,AA6&lt;&gt;AD6),2,IF(AND(AA6&lt;&gt;AD6,AD6&lt;&gt;AG6),3,"Verificar"))))))))),"-")</f>
        <v>1</v>
      </c>
      <c r="AM6" s="51">
        <f t="shared" ref="AM6:AM14" si="14">IFERROR(IF(AND(AG6="",AD6=""),IF(AND(VLOOKUP(TEXT(AA6,"@"),$T$5:$V$14,2,FALSE)&lt;=22.5,VLOOKUP(TEXT(AA6,"@"),$T$5:$V$14,3,FALSE)&lt;=22.5),Z6*2,Z6),IF(AG6="",IF(AND(VLOOKUP(TEXT(AA6,"@"),$T$5:$V$14,2,FALSE)&lt;=22.5,VLOOKUP(TEXT(AA6,"@"),$T$5:$V$14,3,FALSE)&lt;=22.5),Z6*2,Z6)+IF(AND(VLOOKUP(TEXT(AD6,"@"),$T$5:$V$14,2,FALSE)&lt;=22.5,VLOOKUP(TEXT(AD6,"@"),$T$5:$V$14,3,0)&lt;=22.5),AC6*2,AC6),IF(AND(VLOOKUP(TEXT(AA6,"@"),$T$5:$V$14,2,FALSE)&lt;=22.5,VLOOKUP(TEXT(AA6,"@"),$T$5:$V$14,3,FALSE)&lt;=22.5),Z6*2,Z6)+IF(AND(VLOOKUP(TEXT(AD6,"@"),$T$5:$V$14,2,FALSE)&lt;=22.5,VLOOKUP(TEXT(AD6,"@"),$T$5:$V$14,3,0)&lt;=22.5),AC6*2,AC6)+IF(AND(VLOOKUP(TEXT(AG6,"@"),$T$5:$V$14,2,FALSE)&lt;=22.5,VLOOKUP(TEXT(AG6,"@"),$T$5:$V$14,3,FALSE)&lt;=22.5),AF6*2,AF6))),"-")</f>
        <v>6</v>
      </c>
      <c r="AN6" s="21"/>
      <c r="AO6" s="52" t="s">
        <v>47</v>
      </c>
      <c r="AP6" s="61"/>
      <c r="AQ6" s="53" t="e">
        <f>IF(DK11=0,LEFT(H18,2)*1,IF((LEFT(H18,2)*1)&lt;=DK11,LEFT(H18,2)*1,DK11))</f>
        <v>#N/A</v>
      </c>
      <c r="AR6" s="62"/>
      <c r="AT6" s="38" t="s">
        <v>48</v>
      </c>
      <c r="AU6" s="428"/>
      <c r="AV6" s="429"/>
      <c r="AW6" s="429"/>
      <c r="AX6" s="430"/>
      <c r="AY6" s="421"/>
      <c r="AZ6" s="421"/>
      <c r="BA6" s="421"/>
      <c r="BB6" s="421"/>
      <c r="CS6" s="3"/>
      <c r="CT6" s="3"/>
      <c r="CU6" s="3"/>
      <c r="CV6" s="3"/>
      <c r="CW6" s="3"/>
      <c r="CX6" s="3"/>
      <c r="CY6" s="3"/>
      <c r="CZ6" s="3"/>
      <c r="DA6" s="3"/>
      <c r="DJ6" s="41" t="s">
        <v>49</v>
      </c>
      <c r="DK6" s="63">
        <v>4</v>
      </c>
      <c r="DL6" s="40"/>
      <c r="DM6" s="56"/>
      <c r="DN6" s="57"/>
      <c r="DO6" s="58"/>
      <c r="DP6" s="59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0"/>
      <c r="FF6" s="60"/>
      <c r="FG6" s="60"/>
      <c r="FH6" s="60"/>
      <c r="FI6" s="60"/>
    </row>
    <row r="7" spans="2:165" ht="21.95" customHeight="1" thickBot="1" x14ac:dyDescent="0.3">
      <c r="B7" s="10"/>
      <c r="C7" s="444"/>
      <c r="D7" s="445"/>
      <c r="E7" s="446"/>
      <c r="F7" s="43"/>
      <c r="G7" s="65" t="s">
        <v>50</v>
      </c>
      <c r="H7" s="66"/>
      <c r="N7" s="14"/>
      <c r="S7" s="45" t="s">
        <v>51</v>
      </c>
      <c r="T7" s="46" t="str">
        <f t="shared" si="0"/>
        <v>36</v>
      </c>
      <c r="U7" s="47" t="str">
        <f t="shared" si="0"/>
        <v>20,61+18,49</v>
      </c>
      <c r="V7" s="47">
        <f t="shared" si="0"/>
        <v>30.28</v>
      </c>
      <c r="W7" s="47" t="e">
        <f t="shared" si="10"/>
        <v>#VALUE!</v>
      </c>
      <c r="X7" s="48"/>
      <c r="Y7" s="45" t="s">
        <v>51</v>
      </c>
      <c r="Z7" s="49">
        <f t="shared" si="11"/>
        <v>6</v>
      </c>
      <c r="AA7" s="49">
        <f t="shared" si="1"/>
        <v>38</v>
      </c>
      <c r="AB7" s="49" t="str">
        <f t="shared" si="2"/>
        <v>L</v>
      </c>
      <c r="AC7" s="49" t="str">
        <f t="shared" si="3"/>
        <v/>
      </c>
      <c r="AD7" s="49" t="str">
        <f t="shared" si="4"/>
        <v/>
      </c>
      <c r="AE7" s="49" t="str">
        <f t="shared" si="5"/>
        <v/>
      </c>
      <c r="AF7" s="49" t="str">
        <f t="shared" si="6"/>
        <v/>
      </c>
      <c r="AG7" s="49" t="str">
        <f t="shared" si="7"/>
        <v/>
      </c>
      <c r="AH7" s="49" t="str">
        <f t="shared" si="8"/>
        <v/>
      </c>
      <c r="AI7" s="49" t="str">
        <f t="shared" si="9"/>
        <v>115,8</v>
      </c>
      <c r="AJ7" s="50">
        <f t="shared" si="12"/>
        <v>0</v>
      </c>
      <c r="AK7" s="50" t="str">
        <f>IF(AND(AC7="",AF7=""),"-",IF(AND(AC7&lt;&gt;"",AF7=""),IF(AD7&lt;&gt;AA7,AC7*$AQ$6*$AQ$5,"-"),IF(AG7&lt;&gt;AA7,AF7*$AQ$6*$AQ$5,IF(AND(AC7&lt;&gt;"",AF7&lt;&gt;""),IF(AND(AD7&lt;&gt;AA7,AG7&lt;&gt;AA7),SUM(AF7,AC7)*$AQ$6*$AQ$5,"-"),"-"))))</f>
        <v>-</v>
      </c>
      <c r="AL7" s="51">
        <f t="shared" si="13"/>
        <v>1</v>
      </c>
      <c r="AM7" s="51">
        <f t="shared" si="14"/>
        <v>6</v>
      </c>
      <c r="AN7" s="21"/>
      <c r="AO7" s="413" t="s">
        <v>52</v>
      </c>
      <c r="AP7" s="413"/>
      <c r="AQ7" s="413"/>
      <c r="AT7" s="67"/>
      <c r="AU7" s="67"/>
      <c r="AV7" s="67"/>
      <c r="AW7" s="67"/>
      <c r="AX7" s="68"/>
      <c r="AY7" s="421"/>
      <c r="AZ7" s="421"/>
      <c r="BA7" s="421"/>
      <c r="BB7" s="421"/>
      <c r="CS7" s="3"/>
      <c r="CT7" s="3"/>
      <c r="CU7" s="3"/>
      <c r="CV7" s="3"/>
      <c r="CW7" s="3"/>
      <c r="CX7" s="3"/>
      <c r="CY7" s="3"/>
      <c r="CZ7" s="3"/>
      <c r="DA7" s="3"/>
      <c r="DJ7" s="41" t="s">
        <v>53</v>
      </c>
      <c r="DK7" s="63">
        <v>4</v>
      </c>
      <c r="DL7" s="40"/>
      <c r="DM7" s="56"/>
      <c r="DN7" s="57"/>
      <c r="DO7" s="58"/>
      <c r="DP7" s="59"/>
      <c r="EU7" s="64"/>
      <c r="EV7" s="64"/>
      <c r="EW7" s="64"/>
      <c r="EX7" s="64"/>
      <c r="EY7" s="64"/>
      <c r="EZ7" s="64"/>
      <c r="FA7" s="64"/>
      <c r="FB7" s="64"/>
      <c r="FC7" s="64"/>
      <c r="FD7" s="64"/>
      <c r="FE7" s="60"/>
      <c r="FF7" s="60">
        <f>139/34.75</f>
        <v>4</v>
      </c>
      <c r="FG7" s="60"/>
      <c r="FH7" s="60"/>
      <c r="FI7" s="60">
        <f>139/37</f>
        <v>3.7567567567567566</v>
      </c>
    </row>
    <row r="8" spans="2:165" ht="11.25" customHeight="1" thickBot="1" x14ac:dyDescent="0.3">
      <c r="B8" s="10"/>
      <c r="C8" s="69"/>
      <c r="D8" s="70"/>
      <c r="E8" s="71"/>
      <c r="F8" s="70"/>
      <c r="G8" s="72" t="s">
        <v>54</v>
      </c>
      <c r="H8" s="73">
        <f>DK12</f>
        <v>44354.544166666667</v>
      </c>
      <c r="I8" s="70"/>
      <c r="J8" s="74"/>
      <c r="K8" s="75"/>
      <c r="L8" s="414"/>
      <c r="M8" s="414"/>
      <c r="N8" s="14"/>
      <c r="S8" s="45" t="s">
        <v>55</v>
      </c>
      <c r="T8" s="46" t="str">
        <f t="shared" si="0"/>
        <v>37</v>
      </c>
      <c r="U8" s="47">
        <f>IF(L30="","",L30)</f>
        <v>31.05</v>
      </c>
      <c r="V8" s="47" t="e">
        <f>IF(#REF!="","",#REF!)</f>
        <v>#REF!</v>
      </c>
      <c r="W8" s="47" t="e">
        <f t="shared" si="10"/>
        <v>#REF!</v>
      </c>
      <c r="X8" s="48"/>
      <c r="Y8" s="45" t="s">
        <v>55</v>
      </c>
      <c r="Z8" s="49">
        <f t="shared" si="11"/>
        <v>6</v>
      </c>
      <c r="AA8" s="49">
        <f t="shared" si="1"/>
        <v>37</v>
      </c>
      <c r="AB8" s="49" t="str">
        <f t="shared" si="2"/>
        <v>L</v>
      </c>
      <c r="AC8" s="49" t="str">
        <f t="shared" si="3"/>
        <v/>
      </c>
      <c r="AD8" s="49" t="str">
        <f t="shared" si="4"/>
        <v/>
      </c>
      <c r="AE8" s="49" t="str">
        <f t="shared" si="5"/>
        <v/>
      </c>
      <c r="AF8" s="49" t="str">
        <f t="shared" si="6"/>
        <v/>
      </c>
      <c r="AG8" s="49" t="str">
        <f t="shared" si="7"/>
        <v/>
      </c>
      <c r="AH8" s="49" t="str">
        <f t="shared" si="8"/>
        <v/>
      </c>
      <c r="AI8" s="49" t="str">
        <f t="shared" si="9"/>
        <v>113,9</v>
      </c>
      <c r="AJ8" s="50">
        <f t="shared" si="12"/>
        <v>0</v>
      </c>
      <c r="AK8" s="50" t="str">
        <f t="shared" ref="AK8:AK14" si="15">IF(AND(AC8="",AF8=""),"-",IF(AND(AC8&lt;&gt;"",AF8=""),IF(AD8&lt;&gt;AA8,AC8*$AQ$6*$AQ$5,"-"),IF(AG8&lt;&gt;AA8,AF8*$AQ$6*$AQ$5,IF(AND(AC8&lt;&gt;"",AF8&lt;&gt;""),IF(AND(AD8&lt;&gt;AA8,AG8&lt;&gt;AA8),SUM(AF8,AC8)*$AQ$6*$AQ$5,"-"),"-"))))</f>
        <v>-</v>
      </c>
      <c r="AL8" s="51">
        <f t="shared" si="13"/>
        <v>1</v>
      </c>
      <c r="AM8" s="51" t="str">
        <f t="shared" si="14"/>
        <v>-</v>
      </c>
      <c r="AN8" s="21"/>
      <c r="AO8" s="76" t="s">
        <v>56</v>
      </c>
      <c r="AP8" s="77" t="e">
        <f>IF(MAX(W5:W14)&lt;200,"X","")</f>
        <v>#VALUE!</v>
      </c>
      <c r="AQ8" s="78">
        <v>5.5</v>
      </c>
      <c r="AT8" s="24" t="s">
        <v>57</v>
      </c>
      <c r="AU8" s="25"/>
      <c r="AV8" s="25"/>
      <c r="AW8" s="25"/>
      <c r="AX8" s="25"/>
      <c r="AY8" s="421"/>
      <c r="AZ8" s="421"/>
      <c r="BA8" s="421"/>
      <c r="BB8" s="421"/>
      <c r="CS8" s="415" t="s">
        <v>58</v>
      </c>
      <c r="CT8" s="416"/>
      <c r="CU8" s="416"/>
      <c r="CV8" s="416"/>
      <c r="CW8" s="416"/>
      <c r="CX8" s="416"/>
      <c r="CY8" s="416"/>
      <c r="CZ8" s="416"/>
      <c r="DA8" s="417"/>
      <c r="DE8" s="1" t="s">
        <v>59</v>
      </c>
      <c r="DF8" s="1" t="s">
        <v>60</v>
      </c>
      <c r="DJ8" s="41" t="s">
        <v>61</v>
      </c>
      <c r="DK8" s="63">
        <f>DK5/DK6/DK7</f>
        <v>937.5</v>
      </c>
      <c r="DL8" s="40"/>
      <c r="DM8" s="56"/>
      <c r="DN8" s="57"/>
      <c r="DO8" s="58"/>
      <c r="DP8" s="59"/>
      <c r="EU8" s="64"/>
      <c r="EV8" s="64"/>
      <c r="EW8" s="64"/>
      <c r="EX8" s="64"/>
      <c r="EY8" s="64"/>
      <c r="EZ8" s="64"/>
      <c r="FA8" s="64"/>
      <c r="FB8" s="64"/>
      <c r="FC8" s="64"/>
      <c r="FD8" s="64"/>
      <c r="FE8" s="60"/>
      <c r="FF8" s="60">
        <f>100/17.6</f>
        <v>5.6818181818181817</v>
      </c>
      <c r="FG8" s="60"/>
      <c r="FH8" s="60"/>
      <c r="FI8" s="60">
        <f>100/19</f>
        <v>5.2631578947368425</v>
      </c>
    </row>
    <row r="9" spans="2:165" ht="16.5" thickBot="1" x14ac:dyDescent="0.3">
      <c r="B9" s="10"/>
      <c r="C9" s="79" t="s">
        <v>62</v>
      </c>
      <c r="D9" s="80" t="s">
        <v>63</v>
      </c>
      <c r="E9" s="80" t="s">
        <v>64</v>
      </c>
      <c r="F9" s="362" t="s">
        <v>65</v>
      </c>
      <c r="G9" s="364"/>
      <c r="H9" s="362" t="s">
        <v>66</v>
      </c>
      <c r="I9" s="363"/>
      <c r="J9" s="364"/>
      <c r="K9" s="362" t="s">
        <v>67</v>
      </c>
      <c r="L9" s="363"/>
      <c r="M9" s="364"/>
      <c r="N9" s="14"/>
      <c r="S9" s="45" t="s">
        <v>68</v>
      </c>
      <c r="T9" s="46" t="str">
        <f t="shared" si="0"/>
        <v>38</v>
      </c>
      <c r="U9" s="47" t="str">
        <f t="shared" si="0"/>
        <v>21,36+19,13</v>
      </c>
      <c r="V9" s="47">
        <f t="shared" si="0"/>
        <v>31.82</v>
      </c>
      <c r="W9" s="47" t="e">
        <f t="shared" si="10"/>
        <v>#VALUE!</v>
      </c>
      <c r="X9" s="48"/>
      <c r="Y9" s="45" t="s">
        <v>68</v>
      </c>
      <c r="Z9" s="49">
        <f t="shared" si="11"/>
        <v>6</v>
      </c>
      <c r="AA9" s="49">
        <f t="shared" si="1"/>
        <v>36</v>
      </c>
      <c r="AB9" s="49" t="str">
        <f t="shared" si="2"/>
        <v>L</v>
      </c>
      <c r="AC9" s="49" t="str">
        <f t="shared" si="3"/>
        <v/>
      </c>
      <c r="AD9" s="49" t="str">
        <f t="shared" si="4"/>
        <v/>
      </c>
      <c r="AE9" s="49" t="str">
        <f t="shared" si="5"/>
        <v/>
      </c>
      <c r="AF9" s="49" t="str">
        <f t="shared" si="6"/>
        <v/>
      </c>
      <c r="AG9" s="49" t="str">
        <f t="shared" si="7"/>
        <v/>
      </c>
      <c r="AH9" s="49" t="str">
        <f t="shared" si="8"/>
        <v/>
      </c>
      <c r="AI9" s="49" t="str">
        <f t="shared" si="9"/>
        <v>111,9</v>
      </c>
      <c r="AJ9" s="50">
        <f t="shared" si="12"/>
        <v>0</v>
      </c>
      <c r="AK9" s="50" t="str">
        <f t="shared" si="15"/>
        <v>-</v>
      </c>
      <c r="AL9" s="51">
        <f t="shared" si="13"/>
        <v>1</v>
      </c>
      <c r="AM9" s="51">
        <f t="shared" si="14"/>
        <v>6</v>
      </c>
      <c r="AN9" s="21"/>
      <c r="AO9" s="76" t="s">
        <v>69</v>
      </c>
      <c r="AP9" s="81" t="e">
        <f>IF(MAX(W5:W14)&gt;=200,"X","")</f>
        <v>#VALUE!</v>
      </c>
      <c r="AQ9" s="78">
        <v>7</v>
      </c>
      <c r="AT9" s="38" t="s">
        <v>70</v>
      </c>
      <c r="AU9" s="418"/>
      <c r="AV9" s="419"/>
      <c r="AW9" s="419"/>
      <c r="AX9" s="420"/>
      <c r="AY9" s="421"/>
      <c r="AZ9" s="421"/>
      <c r="BA9" s="421"/>
      <c r="BB9" s="421"/>
      <c r="CS9" s="3"/>
      <c r="CT9" s="3"/>
      <c r="CU9" s="3"/>
      <c r="CV9" s="3"/>
      <c r="CW9" s="3"/>
      <c r="CX9" s="3"/>
      <c r="CY9" s="3"/>
      <c r="CZ9" s="3"/>
      <c r="DA9" s="3"/>
      <c r="DD9" s="82" t="s">
        <v>71</v>
      </c>
      <c r="DE9" s="346">
        <v>12500</v>
      </c>
      <c r="DF9" s="346"/>
      <c r="DJ9" s="41" t="s">
        <v>72</v>
      </c>
      <c r="DK9" s="55">
        <f>AVERAGEIF(F11:F21,"&lt;&gt;0")</f>
        <v>9.8814285714285717</v>
      </c>
      <c r="DL9" s="40"/>
      <c r="DM9" s="56"/>
      <c r="DN9" s="57"/>
      <c r="DO9" s="58"/>
      <c r="DP9" s="59"/>
      <c r="EU9" s="64"/>
      <c r="EV9" s="64"/>
      <c r="EW9" s="64"/>
      <c r="EX9" s="64"/>
      <c r="EY9" s="64"/>
      <c r="EZ9" s="64"/>
      <c r="FA9" s="64"/>
      <c r="FB9" s="64"/>
      <c r="FC9" s="64"/>
      <c r="FD9" s="64"/>
      <c r="FE9" s="60"/>
      <c r="FF9" s="60">
        <f>FF7*FF8*0.89</f>
        <v>20.227272727272727</v>
      </c>
      <c r="FG9" s="60"/>
      <c r="FH9" s="60"/>
      <c r="FI9" s="60">
        <f>FI7*FI8*0.9</f>
        <v>17.795163584637269</v>
      </c>
    </row>
    <row r="10" spans="2:165" ht="14.25" customHeight="1" thickBot="1" x14ac:dyDescent="0.3">
      <c r="B10" s="10"/>
      <c r="C10" s="84"/>
      <c r="D10" s="85"/>
      <c r="E10" s="86"/>
      <c r="F10" s="87"/>
      <c r="G10" s="88"/>
      <c r="H10" s="89"/>
      <c r="I10" s="90"/>
      <c r="J10" s="90"/>
      <c r="K10" s="5"/>
      <c r="L10" s="91"/>
      <c r="M10" s="88"/>
      <c r="N10" s="14"/>
      <c r="P10" s="1">
        <v>1</v>
      </c>
      <c r="S10" s="45" t="s">
        <v>73</v>
      </c>
      <c r="T10" s="46" t="str">
        <f t="shared" si="0"/>
        <v>39</v>
      </c>
      <c r="U10" s="47" t="str">
        <f t="shared" si="0"/>
        <v>21,73+19,45</v>
      </c>
      <c r="V10" s="47">
        <f t="shared" si="0"/>
        <v>32.6</v>
      </c>
      <c r="W10" s="47" t="e">
        <f t="shared" si="10"/>
        <v>#VALUE!</v>
      </c>
      <c r="X10" s="48"/>
      <c r="Y10" s="45" t="s">
        <v>73</v>
      </c>
      <c r="Z10" s="49">
        <f t="shared" si="11"/>
        <v>6</v>
      </c>
      <c r="AA10" s="49">
        <f t="shared" si="1"/>
        <v>35</v>
      </c>
      <c r="AB10" s="49" t="str">
        <f t="shared" si="2"/>
        <v>L</v>
      </c>
      <c r="AC10" s="49">
        <f t="shared" si="3"/>
        <v>1</v>
      </c>
      <c r="AD10" s="49">
        <f t="shared" si="4"/>
        <v>34</v>
      </c>
      <c r="AE10" s="49" t="str">
        <f t="shared" si="5"/>
        <v>L</v>
      </c>
      <c r="AF10" s="49" t="str">
        <f t="shared" si="6"/>
        <v/>
      </c>
      <c r="AG10" s="49" t="str">
        <f t="shared" si="7"/>
        <v/>
      </c>
      <c r="AH10" s="49" t="str">
        <f t="shared" si="8"/>
        <v/>
      </c>
      <c r="AI10" s="49" t="str">
        <f t="shared" si="9"/>
        <v>127,9</v>
      </c>
      <c r="AJ10" s="50">
        <f t="shared" si="12"/>
        <v>0</v>
      </c>
      <c r="AK10" s="50" t="e">
        <f t="shared" si="15"/>
        <v>#N/A</v>
      </c>
      <c r="AL10" s="51">
        <f t="shared" si="13"/>
        <v>2</v>
      </c>
      <c r="AM10" s="51" t="str">
        <f t="shared" si="14"/>
        <v>-</v>
      </c>
      <c r="AN10" s="21"/>
      <c r="AO10" s="21"/>
      <c r="AP10" s="21"/>
      <c r="AQ10" s="21"/>
      <c r="AT10" s="38" t="s">
        <v>74</v>
      </c>
      <c r="AU10" s="431" t="s">
        <v>75</v>
      </c>
      <c r="AV10" s="432"/>
      <c r="AW10" s="432"/>
      <c r="AX10" s="433"/>
      <c r="AY10" s="421"/>
      <c r="AZ10" s="421"/>
      <c r="BA10" s="421"/>
      <c r="BB10" s="421"/>
      <c r="CS10" s="399" t="s">
        <v>76</v>
      </c>
      <c r="CT10" s="399"/>
      <c r="CU10" s="399"/>
      <c r="CV10" s="399"/>
      <c r="CW10" s="3"/>
      <c r="CX10" s="399" t="s">
        <v>77</v>
      </c>
      <c r="CY10" s="399"/>
      <c r="CZ10" s="399"/>
      <c r="DA10" s="399"/>
      <c r="DD10" s="82" t="s">
        <v>78</v>
      </c>
      <c r="DE10" s="92">
        <f>CT16</f>
        <v>0</v>
      </c>
      <c r="DF10" s="92">
        <f>CY16</f>
        <v>0</v>
      </c>
      <c r="DJ10" s="41" t="s">
        <v>79</v>
      </c>
      <c r="DK10" s="55" t="e">
        <f>VLOOKUP('CABEDAL '!H14,'CABEDAL '!$BD$70:$BE$9985,2,0)</f>
        <v>#N/A</v>
      </c>
      <c r="DL10" s="40"/>
      <c r="DM10" s="56"/>
      <c r="DN10" s="57"/>
      <c r="DO10" s="57"/>
      <c r="DP10" s="59"/>
      <c r="EU10" s="64"/>
      <c r="EV10" s="64"/>
      <c r="EW10" s="64"/>
      <c r="EX10" s="64"/>
      <c r="EY10" s="64"/>
      <c r="EZ10" s="64"/>
      <c r="FA10" s="64"/>
      <c r="FB10" s="64"/>
      <c r="FC10" s="64"/>
      <c r="FD10" s="64"/>
      <c r="FE10" s="60"/>
      <c r="FF10" s="60"/>
      <c r="FG10" s="60"/>
      <c r="FH10" s="60"/>
      <c r="FI10" s="60"/>
    </row>
    <row r="11" spans="2:165" ht="15" customHeight="1" x14ac:dyDescent="0.25">
      <c r="B11" s="10"/>
      <c r="C11" s="93" t="s">
        <v>80</v>
      </c>
      <c r="D11" s="94" t="s">
        <v>81</v>
      </c>
      <c r="E11" s="94">
        <v>8</v>
      </c>
      <c r="F11" s="95">
        <v>11.81</v>
      </c>
      <c r="G11" s="96">
        <f>F11*0.93</f>
        <v>10.983300000000002</v>
      </c>
      <c r="H11" s="400" t="s">
        <v>82</v>
      </c>
      <c r="I11" s="401"/>
      <c r="J11" s="401"/>
      <c r="K11" s="404" t="s">
        <v>83</v>
      </c>
      <c r="L11" s="405"/>
      <c r="M11" s="406"/>
      <c r="N11" s="14"/>
      <c r="P11" s="1">
        <v>1</v>
      </c>
      <c r="S11" s="45" t="s">
        <v>84</v>
      </c>
      <c r="T11" s="46" t="str">
        <f t="shared" si="0"/>
        <v>40</v>
      </c>
      <c r="U11" s="47" t="str">
        <f t="shared" si="0"/>
        <v>22,1+19,79</v>
      </c>
      <c r="V11" s="47">
        <f t="shared" si="0"/>
        <v>33.369999999999997</v>
      </c>
      <c r="W11" s="47" t="e">
        <f t="shared" si="10"/>
        <v>#VALUE!</v>
      </c>
      <c r="X11" s="48"/>
      <c r="Y11" s="45" t="s">
        <v>84</v>
      </c>
      <c r="Z11" s="49">
        <f t="shared" si="11"/>
        <v>7</v>
      </c>
      <c r="AA11" s="49">
        <f t="shared" si="1"/>
        <v>34</v>
      </c>
      <c r="AB11" s="49" t="str">
        <f t="shared" si="2"/>
        <v>L</v>
      </c>
      <c r="AC11" s="49" t="str">
        <f t="shared" si="3"/>
        <v/>
      </c>
      <c r="AD11" s="49" t="str">
        <f t="shared" si="4"/>
        <v/>
      </c>
      <c r="AE11" s="49" t="str">
        <f t="shared" si="5"/>
        <v/>
      </c>
      <c r="AF11" s="49" t="str">
        <f t="shared" si="6"/>
        <v/>
      </c>
      <c r="AG11" s="49" t="str">
        <f t="shared" si="7"/>
        <v/>
      </c>
      <c r="AH11" s="49" t="str">
        <f t="shared" si="8"/>
        <v/>
      </c>
      <c r="AI11" s="49" t="str">
        <f t="shared" si="9"/>
        <v>126,2</v>
      </c>
      <c r="AJ11" s="50">
        <f t="shared" si="12"/>
        <v>0</v>
      </c>
      <c r="AK11" s="50" t="str">
        <f t="shared" si="15"/>
        <v>-</v>
      </c>
      <c r="AL11" s="51">
        <f t="shared" si="13"/>
        <v>1</v>
      </c>
      <c r="AM11" s="51" t="str">
        <f t="shared" si="14"/>
        <v>-</v>
      </c>
      <c r="AN11" s="21"/>
      <c r="AO11" s="34" t="s">
        <v>85</v>
      </c>
      <c r="AP11" s="34" t="s">
        <v>86</v>
      </c>
      <c r="AQ11" s="34" t="s">
        <v>23</v>
      </c>
      <c r="AT11" s="97"/>
      <c r="AU11" s="98"/>
      <c r="AV11" s="99"/>
      <c r="AW11" s="99"/>
      <c r="AX11" s="99"/>
      <c r="AY11" s="99"/>
      <c r="AZ11" s="99"/>
      <c r="BA11" s="99"/>
      <c r="BB11" s="99"/>
      <c r="CS11" s="410" t="s">
        <v>87</v>
      </c>
      <c r="CT11" s="411"/>
      <c r="CU11" s="411"/>
      <c r="CV11" s="412"/>
      <c r="CW11" s="100"/>
      <c r="CX11" s="410" t="s">
        <v>88</v>
      </c>
      <c r="CY11" s="411"/>
      <c r="CZ11" s="411"/>
      <c r="DA11" s="412"/>
      <c r="DD11" s="82" t="s">
        <v>89</v>
      </c>
      <c r="DE11" s="393" t="str">
        <f>$D$11</f>
        <v>0,5</v>
      </c>
      <c r="DF11" s="393"/>
      <c r="DJ11" s="41" t="s">
        <v>90</v>
      </c>
      <c r="DK11" s="101" t="e">
        <f>ROUNDUP(DK8/DK9/DK10,0)</f>
        <v>#N/A</v>
      </c>
      <c r="DL11" s="40"/>
      <c r="DM11" s="56"/>
      <c r="DN11" s="57"/>
      <c r="DO11" s="57"/>
      <c r="DP11" s="59"/>
      <c r="EU11" s="64"/>
      <c r="EV11" s="64"/>
      <c r="EW11" s="64"/>
      <c r="EX11" s="64"/>
      <c r="EY11" s="64"/>
      <c r="EZ11" s="64"/>
      <c r="FA11" s="64"/>
      <c r="FB11" s="64"/>
      <c r="FC11" s="64"/>
      <c r="FE11" s="60"/>
      <c r="FF11" s="60"/>
      <c r="FG11" s="60"/>
      <c r="FH11" s="60"/>
      <c r="FI11" s="60"/>
    </row>
    <row r="12" spans="2:165" ht="15" customHeight="1" thickBot="1" x14ac:dyDescent="0.3">
      <c r="B12" s="10"/>
      <c r="C12" s="93" t="s">
        <v>91</v>
      </c>
      <c r="D12" s="94" t="s">
        <v>81</v>
      </c>
      <c r="E12" s="94">
        <v>17</v>
      </c>
      <c r="F12" s="95">
        <v>11.47</v>
      </c>
      <c r="G12" s="96">
        <f t="shared" ref="G12:G17" si="16">F12*0.93</f>
        <v>10.667100000000001</v>
      </c>
      <c r="H12" s="402"/>
      <c r="I12" s="403"/>
      <c r="J12" s="403"/>
      <c r="K12" s="407"/>
      <c r="L12" s="408"/>
      <c r="M12" s="409"/>
      <c r="N12" s="14"/>
      <c r="P12" s="1">
        <v>1</v>
      </c>
      <c r="S12" s="45" t="s">
        <v>92</v>
      </c>
      <c r="T12" s="46" t="str">
        <f t="shared" si="0"/>
        <v/>
      </c>
      <c r="U12" s="47" t="str">
        <f t="shared" si="0"/>
        <v/>
      </c>
      <c r="V12" s="47" t="str">
        <f t="shared" si="0"/>
        <v/>
      </c>
      <c r="W12" s="47" t="e">
        <f t="shared" si="10"/>
        <v>#VALUE!</v>
      </c>
      <c r="X12" s="21"/>
      <c r="Y12" s="45" t="s">
        <v>92</v>
      </c>
      <c r="Z12" s="49" t="str">
        <f t="shared" si="11"/>
        <v/>
      </c>
      <c r="AA12" s="49" t="str">
        <f t="shared" si="1"/>
        <v/>
      </c>
      <c r="AB12" s="49" t="str">
        <f t="shared" si="2"/>
        <v/>
      </c>
      <c r="AC12" s="49" t="str">
        <f t="shared" si="3"/>
        <v/>
      </c>
      <c r="AD12" s="49" t="str">
        <f t="shared" si="4"/>
        <v/>
      </c>
      <c r="AE12" s="49" t="str">
        <f t="shared" si="5"/>
        <v/>
      </c>
      <c r="AF12" s="49" t="str">
        <f t="shared" si="6"/>
        <v/>
      </c>
      <c r="AG12" s="49" t="str">
        <f t="shared" si="7"/>
        <v/>
      </c>
      <c r="AH12" s="49" t="str">
        <f t="shared" si="8"/>
        <v/>
      </c>
      <c r="AI12" s="49" t="str">
        <f t="shared" si="9"/>
        <v/>
      </c>
      <c r="AJ12" s="50">
        <f t="shared" si="12"/>
        <v>0</v>
      </c>
      <c r="AK12" s="50" t="str">
        <f t="shared" si="15"/>
        <v>-</v>
      </c>
      <c r="AL12" s="51" t="str">
        <f t="shared" si="13"/>
        <v>-</v>
      </c>
      <c r="AM12" s="51" t="str">
        <f t="shared" si="14"/>
        <v/>
      </c>
      <c r="AN12" s="21"/>
      <c r="AO12" s="102" t="s">
        <v>93</v>
      </c>
      <c r="AP12" s="103">
        <f>COUNTIF(AL:AL,1)</f>
        <v>6</v>
      </c>
      <c r="AQ12" s="104">
        <f>IFERROR((SUMIF(AL:AL,1,AM:AM))/AP12,"")</f>
        <v>4</v>
      </c>
      <c r="AT12" s="105" t="s">
        <v>94</v>
      </c>
      <c r="AU12" s="106"/>
      <c r="AV12" s="106"/>
      <c r="AW12" s="106"/>
      <c r="AX12" s="106"/>
      <c r="AY12" s="106"/>
      <c r="AZ12" s="106"/>
      <c r="BA12" s="106"/>
      <c r="BB12" s="107"/>
      <c r="CS12" s="108" t="s">
        <v>2</v>
      </c>
      <c r="CT12" s="394" t="e">
        <f>TRUNC(CU2/CY2,0)</f>
        <v>#DIV/0!</v>
      </c>
      <c r="CU12" s="394"/>
      <c r="CV12" s="395"/>
      <c r="CW12" s="3"/>
      <c r="CX12" s="108" t="s">
        <v>2</v>
      </c>
      <c r="CY12" s="394" t="e">
        <f>TRUNC(CU3/CY2,0)</f>
        <v>#DIV/0!</v>
      </c>
      <c r="CZ12" s="394"/>
      <c r="DA12" s="395"/>
      <c r="DD12" s="82" t="s">
        <v>95</v>
      </c>
      <c r="DE12" s="346">
        <f>$CY$2*$CY$3</f>
        <v>0</v>
      </c>
      <c r="DF12" s="346"/>
      <c r="DJ12" s="109" t="s">
        <v>35</v>
      </c>
      <c r="DK12" s="56">
        <v>44354.544166666667</v>
      </c>
      <c r="DL12" s="40"/>
      <c r="DM12" s="56"/>
      <c r="DN12" s="57"/>
      <c r="DO12" s="57"/>
      <c r="DP12" s="59"/>
      <c r="ES12" s="2"/>
      <c r="EU12" s="64"/>
      <c r="EV12" s="64"/>
      <c r="EW12" s="64"/>
      <c r="EX12" s="64"/>
      <c r="EY12" s="64"/>
      <c r="EZ12" s="64"/>
      <c r="FA12" s="64"/>
      <c r="FB12" s="64"/>
      <c r="FC12" s="64"/>
      <c r="FD12" s="110"/>
    </row>
    <row r="13" spans="2:165" ht="15" customHeight="1" thickBot="1" x14ac:dyDescent="0.3">
      <c r="B13" s="10"/>
      <c r="C13" s="93" t="s">
        <v>96</v>
      </c>
      <c r="D13" s="94" t="s">
        <v>81</v>
      </c>
      <c r="E13" s="94">
        <v>24</v>
      </c>
      <c r="F13" s="95">
        <v>9.6199999999999992</v>
      </c>
      <c r="G13" s="96">
        <f t="shared" si="16"/>
        <v>8.9466000000000001</v>
      </c>
      <c r="H13" s="362" t="s">
        <v>97</v>
      </c>
      <c r="I13" s="363"/>
      <c r="J13" s="363"/>
      <c r="K13" s="363"/>
      <c r="L13" s="363"/>
      <c r="M13" s="364"/>
      <c r="N13" s="14"/>
      <c r="P13" s="1">
        <v>1</v>
      </c>
      <c r="S13" s="45" t="s">
        <v>98</v>
      </c>
      <c r="T13" s="46" t="str">
        <f t="shared" si="0"/>
        <v>COM LADO</v>
      </c>
      <c r="U13" s="47" t="str">
        <f t="shared" si="0"/>
        <v/>
      </c>
      <c r="V13" s="47" t="str">
        <f t="shared" si="0"/>
        <v/>
      </c>
      <c r="W13" s="47" t="e">
        <f t="shared" si="10"/>
        <v>#VALUE!</v>
      </c>
      <c r="X13" s="21"/>
      <c r="Y13" s="45" t="s">
        <v>98</v>
      </c>
      <c r="Z13" s="49" t="str">
        <f t="shared" si="11"/>
        <v/>
      </c>
      <c r="AA13" s="49" t="str">
        <f t="shared" si="1"/>
        <v/>
      </c>
      <c r="AB13" s="49" t="str">
        <f t="shared" si="2"/>
        <v/>
      </c>
      <c r="AC13" s="49" t="str">
        <f t="shared" si="3"/>
        <v/>
      </c>
      <c r="AD13" s="49" t="str">
        <f t="shared" si="4"/>
        <v/>
      </c>
      <c r="AE13" s="49" t="str">
        <f t="shared" si="5"/>
        <v/>
      </c>
      <c r="AF13" s="49" t="str">
        <f t="shared" si="6"/>
        <v/>
      </c>
      <c r="AG13" s="49" t="str">
        <f t="shared" si="7"/>
        <v/>
      </c>
      <c r="AH13" s="49" t="str">
        <f t="shared" si="8"/>
        <v/>
      </c>
      <c r="AI13" s="49" t="str">
        <f t="shared" si="9"/>
        <v/>
      </c>
      <c r="AJ13" s="50">
        <f t="shared" si="12"/>
        <v>0</v>
      </c>
      <c r="AK13" s="50" t="str">
        <f t="shared" si="15"/>
        <v>-</v>
      </c>
      <c r="AL13" s="51" t="str">
        <f t="shared" si="13"/>
        <v>-</v>
      </c>
      <c r="AM13" s="51" t="str">
        <f t="shared" si="14"/>
        <v/>
      </c>
      <c r="AN13" s="21"/>
      <c r="AO13" s="102" t="s">
        <v>99</v>
      </c>
      <c r="AP13" s="103">
        <f>COUNTIF(AL:AL,2)</f>
        <v>1</v>
      </c>
      <c r="AQ13" s="104">
        <f>IFERROR((SUMIF(AL:AL,2,AM:AM))/AP13,"")</f>
        <v>0</v>
      </c>
      <c r="AT13" s="111"/>
      <c r="AU13" s="99"/>
      <c r="AV13" s="99"/>
      <c r="AW13" s="112"/>
      <c r="AX13" s="112"/>
      <c r="AY13" s="112"/>
      <c r="AZ13" s="99"/>
      <c r="BA13" s="99"/>
      <c r="BB13" s="113"/>
      <c r="BD13" s="391" t="s">
        <v>100</v>
      </c>
      <c r="BE13" s="391"/>
      <c r="BF13" s="391"/>
      <c r="BG13" s="391"/>
      <c r="BH13" s="391"/>
      <c r="BI13" s="391"/>
      <c r="BJ13" s="391"/>
      <c r="BK13" s="391"/>
      <c r="BL13" s="391"/>
      <c r="BX13" s="392" t="s">
        <v>101</v>
      </c>
      <c r="BY13" s="392"/>
      <c r="BZ13" s="392"/>
      <c r="CA13" s="392"/>
      <c r="CB13" s="392"/>
      <c r="CC13" s="392"/>
      <c r="CD13" s="392"/>
      <c r="CE13" s="392"/>
      <c r="CF13" s="392"/>
      <c r="CS13" s="108" t="s">
        <v>102</v>
      </c>
      <c r="CT13" s="396">
        <f>TRUNC(CU3/CY3,0)</f>
        <v>1</v>
      </c>
      <c r="CU13" s="396"/>
      <c r="CV13" s="397"/>
      <c r="CW13" s="3"/>
      <c r="CX13" s="108" t="s">
        <v>102</v>
      </c>
      <c r="CY13" s="396">
        <f>TRUNC(CU2/CY3,0)</f>
        <v>1</v>
      </c>
      <c r="CZ13" s="396"/>
      <c r="DA13" s="397"/>
      <c r="DD13" s="114" t="s">
        <v>103</v>
      </c>
      <c r="DE13" s="398" t="e">
        <f>(VLOOKUP($H$14,$BD$72:$BG$447,3,FALSE)*DE12)</f>
        <v>#N/A</v>
      </c>
      <c r="DF13" s="398"/>
      <c r="DJ13" s="40"/>
      <c r="DK13" s="40"/>
      <c r="DL13" s="40"/>
      <c r="DM13" s="56"/>
      <c r="DN13" s="57"/>
      <c r="DO13" s="57"/>
      <c r="DP13" s="59"/>
      <c r="EU13" s="64"/>
      <c r="EV13" s="64"/>
      <c r="EW13" s="64"/>
      <c r="EX13" s="64"/>
      <c r="EY13" s="64"/>
      <c r="EZ13" s="64"/>
      <c r="FA13" s="64"/>
      <c r="FB13" s="64"/>
      <c r="FC13" s="64"/>
      <c r="FD13" s="64"/>
    </row>
    <row r="14" spans="2:165" ht="15" customHeight="1" x14ac:dyDescent="0.25">
      <c r="B14" s="10"/>
      <c r="C14" s="93" t="s">
        <v>104</v>
      </c>
      <c r="D14" s="94" t="s">
        <v>81</v>
      </c>
      <c r="E14" s="94">
        <v>24</v>
      </c>
      <c r="F14" s="95">
        <v>9.3800000000000008</v>
      </c>
      <c r="G14" s="96">
        <f t="shared" si="16"/>
        <v>8.7234000000000016</v>
      </c>
      <c r="H14" s="376" t="s">
        <v>105</v>
      </c>
      <c r="I14" s="377"/>
      <c r="J14" s="377"/>
      <c r="K14" s="377"/>
      <c r="L14" s="377"/>
      <c r="M14" s="378"/>
      <c r="N14" s="14"/>
      <c r="P14" s="1">
        <v>1</v>
      </c>
      <c r="S14" s="45" t="s">
        <v>106</v>
      </c>
      <c r="T14" s="46" t="str">
        <f t="shared" si="0"/>
        <v>MANTER SENTIDO</v>
      </c>
      <c r="U14" s="47" t="str">
        <f t="shared" si="0"/>
        <v/>
      </c>
      <c r="V14" s="47" t="str">
        <f t="shared" si="0"/>
        <v/>
      </c>
      <c r="W14" s="47" t="e">
        <f t="shared" si="10"/>
        <v>#VALUE!</v>
      </c>
      <c r="X14" s="21"/>
      <c r="Y14" s="45" t="s">
        <v>106</v>
      </c>
      <c r="Z14" s="49" t="str">
        <f t="shared" si="11"/>
        <v/>
      </c>
      <c r="AA14" s="49" t="str">
        <f t="shared" si="1"/>
        <v/>
      </c>
      <c r="AB14" s="49" t="str">
        <f t="shared" si="2"/>
        <v/>
      </c>
      <c r="AC14" s="49" t="str">
        <f t="shared" si="3"/>
        <v/>
      </c>
      <c r="AD14" s="49" t="str">
        <f t="shared" si="4"/>
        <v/>
      </c>
      <c r="AE14" s="49" t="str">
        <f t="shared" si="5"/>
        <v/>
      </c>
      <c r="AF14" s="49" t="str">
        <f t="shared" si="6"/>
        <v/>
      </c>
      <c r="AG14" s="49" t="str">
        <f t="shared" si="7"/>
        <v/>
      </c>
      <c r="AH14" s="49" t="str">
        <f t="shared" si="8"/>
        <v/>
      </c>
      <c r="AI14" s="49" t="str">
        <f t="shared" si="9"/>
        <v/>
      </c>
      <c r="AJ14" s="50">
        <f t="shared" si="12"/>
        <v>0</v>
      </c>
      <c r="AK14" s="50" t="str">
        <f t="shared" si="15"/>
        <v>-</v>
      </c>
      <c r="AL14" s="51" t="str">
        <f t="shared" si="13"/>
        <v>-</v>
      </c>
      <c r="AM14" s="51" t="str">
        <f t="shared" si="14"/>
        <v/>
      </c>
      <c r="AN14" s="21"/>
      <c r="AO14" s="102" t="s">
        <v>107</v>
      </c>
      <c r="AP14" s="103">
        <f>COUNTIF(AL:AL,3)</f>
        <v>0</v>
      </c>
      <c r="AQ14" s="104" t="str">
        <f>IFERROR((SUMIF(AL:AL,3,AM:AM))/AP14,"")</f>
        <v/>
      </c>
      <c r="AT14" s="385" t="s">
        <v>108</v>
      </c>
      <c r="AU14" s="386"/>
      <c r="AV14" s="386"/>
      <c r="AW14" s="386"/>
      <c r="AX14" s="386"/>
      <c r="AY14" s="387"/>
      <c r="AZ14" s="115">
        <v>1</v>
      </c>
      <c r="BA14" s="115">
        <v>2</v>
      </c>
      <c r="BB14" s="115">
        <v>3</v>
      </c>
      <c r="BD14" s="388" t="s">
        <v>109</v>
      </c>
      <c r="BE14" s="389"/>
      <c r="BF14" s="389"/>
      <c r="BG14" s="389"/>
      <c r="BH14" s="389"/>
      <c r="BI14" s="390"/>
      <c r="BJ14" s="116" t="e">
        <f>IF(AZ16="","",IF((SUM(AZ28:AZ35)-AZ33-AZ30)&lt;=0,"",(SUM(AZ28:AZ35)-AZ33-AZ30)*1.1))</f>
        <v>#N/A</v>
      </c>
      <c r="BK14" s="116" t="e">
        <f>IF(BA16="","",IF((SUM(BA28:BA35)-BA33-BA30)&lt;=0,"",(SUM(BA28:BA35)-BA33-BA30)*1.1))</f>
        <v>#N/A</v>
      </c>
      <c r="BL14" s="116" t="str">
        <f>IF(BB16="","",IF((SUM(BB28:BB35)-BB33-BB30)&lt;=0,"",(SUM(BB28:BB35)-BB33-BB30)*1.1))</f>
        <v/>
      </c>
      <c r="BN14" s="391" t="s">
        <v>100</v>
      </c>
      <c r="BO14" s="391"/>
      <c r="BP14" s="391"/>
      <c r="BQ14" s="391"/>
      <c r="BR14" s="391"/>
      <c r="BS14" s="391"/>
      <c r="BT14" s="391"/>
      <c r="BU14" s="391"/>
      <c r="BV14" s="391"/>
      <c r="BX14" s="388" t="s">
        <v>109</v>
      </c>
      <c r="BY14" s="389"/>
      <c r="BZ14" s="389"/>
      <c r="CA14" s="389"/>
      <c r="CB14" s="389"/>
      <c r="CC14" s="390"/>
      <c r="CD14" s="116" t="e">
        <f>IF(AZ16="","",IF((SUM(AZ28:AZ35)-AZ29-AZ32)&lt;=0,"",(SUM(AZ28:AZ35)-AZ29-AZ32)*1.1))</f>
        <v>#N/A</v>
      </c>
      <c r="CE14" s="116" t="e">
        <f>IF(BA16="","",IF((SUM(BA28:BA35)-BA29-BA32)&lt;=0,"",(SUM(BA28:BA35)-BA29-BA32)*1.1))</f>
        <v>#N/A</v>
      </c>
      <c r="CF14" s="116" t="str">
        <f>IF(BB16="","",IF((SUM(BB28:BB35)-BB29-BB32)&lt;=0,"",(SUM(BB28:BB35)-BB29-BB32)*1.1))</f>
        <v/>
      </c>
      <c r="CH14" s="392" t="s">
        <v>101</v>
      </c>
      <c r="CI14" s="392"/>
      <c r="CJ14" s="392"/>
      <c r="CK14" s="392"/>
      <c r="CL14" s="392"/>
      <c r="CM14" s="392"/>
      <c r="CN14" s="392"/>
      <c r="CO14" s="392"/>
      <c r="CP14" s="392"/>
      <c r="CS14" s="117" t="s">
        <v>110</v>
      </c>
      <c r="CT14" s="368" t="e">
        <f>IF(CT12=0,"Não é possível calcular",IF(CT13=0,"Não é possível calcular",PRODUCT(CT12:CV13)))</f>
        <v>#DIV/0!</v>
      </c>
      <c r="CU14" s="369"/>
      <c r="CV14" s="370"/>
      <c r="CW14" s="3"/>
      <c r="CX14" s="117" t="s">
        <v>110</v>
      </c>
      <c r="CY14" s="368" t="e">
        <f>IF(CY12=0,"Não é possível calcular",IF(CY13=0,"Não é possível calcular",PRODUCT(CY12:DA13)))</f>
        <v>#DIV/0!</v>
      </c>
      <c r="CZ14" s="369"/>
      <c r="DA14" s="370"/>
      <c r="DD14" s="114" t="s">
        <v>111</v>
      </c>
      <c r="DE14" s="82" t="e">
        <f>$DE$10*$DE$13</f>
        <v>#N/A</v>
      </c>
      <c r="DF14" s="82" t="e">
        <f>DF10*DE13</f>
        <v>#N/A</v>
      </c>
      <c r="DJ14" s="347" t="s">
        <v>112</v>
      </c>
      <c r="DK14" s="347"/>
      <c r="DL14" s="40"/>
      <c r="DM14" s="56"/>
      <c r="DN14" s="57"/>
      <c r="DO14" s="57"/>
      <c r="DP14" s="59"/>
      <c r="EU14" s="64"/>
      <c r="EV14" s="64"/>
      <c r="EW14" s="64"/>
      <c r="EX14" s="64"/>
      <c r="EY14" s="64"/>
      <c r="EZ14" s="64"/>
      <c r="FA14" s="64"/>
      <c r="FB14" s="64"/>
      <c r="FC14" s="64"/>
      <c r="FD14" s="64"/>
    </row>
    <row r="15" spans="2:165" ht="15" customHeight="1" thickBot="1" x14ac:dyDescent="0.3">
      <c r="B15" s="10"/>
      <c r="C15" s="93" t="s">
        <v>113</v>
      </c>
      <c r="D15" s="94" t="s">
        <v>81</v>
      </c>
      <c r="E15" s="94">
        <v>15</v>
      </c>
      <c r="F15" s="95">
        <v>9.17</v>
      </c>
      <c r="G15" s="96">
        <f t="shared" si="16"/>
        <v>8.5281000000000002</v>
      </c>
      <c r="H15" s="379"/>
      <c r="I15" s="380"/>
      <c r="J15" s="380"/>
      <c r="K15" s="380"/>
      <c r="L15" s="380"/>
      <c r="M15" s="381"/>
      <c r="N15" s="14"/>
      <c r="P15" s="1">
        <v>1</v>
      </c>
      <c r="S15" s="21"/>
      <c r="T15" s="118" t="s">
        <v>114</v>
      </c>
      <c r="U15" s="118">
        <f>IF(U5="","",LARGE(U5:U14,1))</f>
        <v>31.05</v>
      </c>
      <c r="V15" s="118" t="e">
        <f>IF(V5="","",LARGE(V5:V14,1))</f>
        <v>#REF!</v>
      </c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118" t="s">
        <v>115</v>
      </c>
      <c r="AK15" s="118" t="e">
        <f>AVERAGE(AK5:AK14)</f>
        <v>#N/A</v>
      </c>
      <c r="AL15" s="119"/>
      <c r="AM15" s="119"/>
      <c r="AN15" s="21"/>
      <c r="AO15" s="120" t="s">
        <v>116</v>
      </c>
      <c r="AP15" s="120" t="s">
        <v>117</v>
      </c>
      <c r="AQ15" s="120" t="s">
        <v>118</v>
      </c>
      <c r="AT15" s="111"/>
      <c r="AU15" s="99"/>
      <c r="AV15" s="99"/>
      <c r="AW15" s="99"/>
      <c r="AX15" s="99"/>
      <c r="AY15" s="99"/>
      <c r="AZ15" s="99"/>
      <c r="BA15" s="112"/>
      <c r="BB15" s="121"/>
      <c r="BD15" s="365" t="s">
        <v>119</v>
      </c>
      <c r="BE15" s="366"/>
      <c r="BF15" s="366"/>
      <c r="BG15" s="366"/>
      <c r="BH15" s="366"/>
      <c r="BI15" s="367"/>
      <c r="BJ15" s="122" t="e">
        <f>IF(AZ16="","",IF(BJ14="","",3600/BJ14))</f>
        <v>#N/A</v>
      </c>
      <c r="BK15" s="122" t="e">
        <f>IF(BA16="","",IF(BK14="","",3600/BK14))</f>
        <v>#N/A</v>
      </c>
      <c r="BL15" s="122" t="str">
        <f>IF(BB16="","",IF(BL14="","",3600/BL14))</f>
        <v/>
      </c>
      <c r="BN15" s="371" t="s">
        <v>120</v>
      </c>
      <c r="BO15" s="371"/>
      <c r="BP15" s="371"/>
      <c r="BQ15" s="371"/>
      <c r="BR15" s="371"/>
      <c r="BS15" s="371"/>
      <c r="BT15" s="371"/>
      <c r="BU15" s="371"/>
      <c r="BV15" s="123" t="e">
        <f>IF(AND(AZ16="",BA16="",BB16=""),"",IF(AND(BJ15="",BK15="",BL15=""),"",IF(AND(BJ15&lt;&gt;"",BK15="",BL15=""),(BJ15*BV18)/BV21,IF(AND(BJ15&lt;&gt;"",BK15&lt;&gt;"",BL15=""),((BJ15*BV18)+(BK15*BV19))/BV21,IF(AND(BJ15="",BL15="",BK15&lt;&gt;""),(BK15*BV19)/BV21,IF(AND(BK15="",BJ15="",BL15&lt;&gt;""),(BL15*BV20)/BV21,IF(AND(BL15&lt;&gt;"",BK15&lt;&gt;"",BJ15=""),((BL15*BV20)+(BK15*BV19))/BV21,IF(AND(BJ15&lt;&gt;"",BL15&lt;&gt;"",BK15=""),((BL15*BV20)+(BJ15*BV18))/BV21,((BJ15*BV18)+(BK15*BV19)+(BL15*BV20))/BV21))))))))</f>
        <v>#N/A</v>
      </c>
      <c r="BX15" s="365" t="s">
        <v>119</v>
      </c>
      <c r="BY15" s="366"/>
      <c r="BZ15" s="366"/>
      <c r="CA15" s="366"/>
      <c r="CB15" s="366"/>
      <c r="CC15" s="367"/>
      <c r="CD15" s="122" t="e">
        <f>IF(AZ16="","",IF(CD14="","",3600/CD14))</f>
        <v>#N/A</v>
      </c>
      <c r="CE15" s="122" t="e">
        <f>IF(BA16="","",IF(CE14="","",3600/CE14))</f>
        <v>#N/A</v>
      </c>
      <c r="CF15" s="122" t="str">
        <f>IF(BB16="","",IF(CF14="","",3600/CF14))</f>
        <v/>
      </c>
      <c r="CH15" s="371" t="s">
        <v>120</v>
      </c>
      <c r="CI15" s="371"/>
      <c r="CJ15" s="371"/>
      <c r="CK15" s="371"/>
      <c r="CL15" s="371"/>
      <c r="CM15" s="371"/>
      <c r="CN15" s="371"/>
      <c r="CO15" s="371"/>
      <c r="CP15" s="123" t="e">
        <f>IF(AND(AZ16="",BA16="",BB16=""),"",IF(AND(CD15="",CE15="",CF15=""),"",IF(AND(CD15&lt;&gt;"",CE15="",CF15=""),(CD15*CP18)/CP21,IF(AND(CD15&lt;&gt;"",CE15&lt;&gt;"",CF15=""),((CD15*CP18)+(CE15*CP19))/CP21,IF(AND(CD15="",CF15="",CE15&lt;&gt;""),(CE15*CP19)/CP21,IF(AND(CE15="",CD15="",CF15&lt;&gt;""),(CF15*CP20)/CP21,IF(AND(CF15&lt;&gt;"",CE15&lt;&gt;"",CD15=""),((CF15*CP20)+(CE15*CP19))/CP21,IF(AND(CD15&lt;&gt;"",CF15&lt;&gt;"",CE15=""),((CF15*CP20)+(CD15*CP18))/CP21,((CD15*CP18)+(CE15*CP19)+(CF15*CP20))/CP21))))))))</f>
        <v>#N/A</v>
      </c>
      <c r="CS15" s="124" t="s">
        <v>31</v>
      </c>
      <c r="CT15" s="372" t="e">
        <f>TRUNC(CU4/CY4,0)</f>
        <v>#N/A</v>
      </c>
      <c r="CU15" s="372"/>
      <c r="CV15" s="373"/>
      <c r="CW15" s="3"/>
      <c r="CX15" s="124" t="s">
        <v>31</v>
      </c>
      <c r="CY15" s="372" t="e">
        <f>TRUNC(CU4/CY4,0)</f>
        <v>#N/A</v>
      </c>
      <c r="CZ15" s="372"/>
      <c r="DA15" s="373"/>
      <c r="DD15" s="114" t="s">
        <v>121</v>
      </c>
      <c r="DE15" s="125" t="e">
        <f>DE14/1000</f>
        <v>#N/A</v>
      </c>
      <c r="DF15" s="125" t="e">
        <f>DF14/1000</f>
        <v>#N/A</v>
      </c>
      <c r="DJ15" s="374" t="str">
        <f>H18</f>
        <v>2 FOLHAS BIDIM PARA CIMA</v>
      </c>
      <c r="DK15" s="375"/>
      <c r="DL15" s="40"/>
      <c r="DM15" s="56"/>
      <c r="DN15" s="57"/>
      <c r="DO15" s="57"/>
      <c r="DP15" s="59"/>
      <c r="EU15" s="64"/>
      <c r="EV15" s="64"/>
      <c r="EW15" s="64"/>
      <c r="EX15" s="64"/>
      <c r="EY15" s="64"/>
      <c r="EZ15" s="64"/>
      <c r="FA15" s="64"/>
      <c r="FB15" s="64"/>
      <c r="FC15" s="64"/>
      <c r="FD15" s="64"/>
    </row>
    <row r="16" spans="2:165" ht="15" customHeight="1" thickBot="1" x14ac:dyDescent="0.3">
      <c r="B16" s="10"/>
      <c r="C16" s="93" t="s">
        <v>122</v>
      </c>
      <c r="D16" s="94" t="s">
        <v>81</v>
      </c>
      <c r="E16" s="94">
        <v>8</v>
      </c>
      <c r="F16" s="95">
        <v>8.9600000000000009</v>
      </c>
      <c r="G16" s="96">
        <f t="shared" si="16"/>
        <v>8.3328000000000007</v>
      </c>
      <c r="H16" s="382"/>
      <c r="I16" s="383"/>
      <c r="J16" s="383"/>
      <c r="K16" s="383"/>
      <c r="L16" s="383"/>
      <c r="M16" s="384"/>
      <c r="N16" s="14"/>
      <c r="P16" s="1">
        <v>1</v>
      </c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119"/>
      <c r="AM16" s="119"/>
      <c r="AN16" s="21"/>
      <c r="AO16" s="126">
        <v>90</v>
      </c>
      <c r="AP16" s="127">
        <f>AVERAGEIF(F11:F21,"&lt;&gt;0")</f>
        <v>9.8814285714285717</v>
      </c>
      <c r="AQ16" s="128" t="e">
        <f>VLOOKUP(H14,BD73:BG447,2,FALSE)</f>
        <v>#N/A</v>
      </c>
      <c r="AT16" s="313" t="s">
        <v>123</v>
      </c>
      <c r="AU16" s="314"/>
      <c r="AV16" s="314"/>
      <c r="AW16" s="314"/>
      <c r="AX16" s="314"/>
      <c r="AY16" s="315"/>
      <c r="AZ16" s="132" t="e">
        <f>IF(COUNTIF($AL:$AL,AZ14)&gt;0,$AQ$6,"")</f>
        <v>#N/A</v>
      </c>
      <c r="BA16" s="132" t="e">
        <f>IF(COUNTIF($AL:$AL,BA14)&gt;0,$AQ$6,"")</f>
        <v>#N/A</v>
      </c>
      <c r="BB16" s="132" t="str">
        <f>IF(COUNTIF($AL:$AL,BB14)&gt;0,$AQ$6,"")</f>
        <v/>
      </c>
      <c r="BD16" s="365" t="s">
        <v>124</v>
      </c>
      <c r="BE16" s="366"/>
      <c r="BF16" s="366"/>
      <c r="BG16" s="366"/>
      <c r="BH16" s="366"/>
      <c r="BI16" s="367"/>
      <c r="BJ16" s="133" t="e">
        <f>IF(AZ16="","",IF(BJ15="","",BJ15/AZ17))</f>
        <v>#N/A</v>
      </c>
      <c r="BK16" s="133" t="e">
        <f>IF(BA16="","",IF(BK15="","",BK15/BA17))</f>
        <v>#N/A</v>
      </c>
      <c r="BL16" s="133" t="str">
        <f>IF(BB16="","",IF(BL15="","",BL15/BB17))</f>
        <v/>
      </c>
      <c r="BN16" s="339" t="s">
        <v>125</v>
      </c>
      <c r="BO16" s="339"/>
      <c r="BP16" s="339"/>
      <c r="BQ16" s="339"/>
      <c r="BR16" s="339"/>
      <c r="BS16" s="339"/>
      <c r="BT16" s="339"/>
      <c r="BU16" s="339"/>
      <c r="BV16" s="123" t="e">
        <f>IF(AND(AZ16="",BA16="",BB16=""),"",IF(AZ16&lt;&gt;"",BV15/AZ16/AZ17,IF(BA16&lt;&gt;"",BV15/BA16/BA17,IF(BB16&lt;&gt;"",BV15/BB16/BB17))))</f>
        <v>#N/A</v>
      </c>
      <c r="BX16" s="365" t="s">
        <v>124</v>
      </c>
      <c r="BY16" s="366"/>
      <c r="BZ16" s="366"/>
      <c r="CA16" s="366"/>
      <c r="CB16" s="366"/>
      <c r="CC16" s="367"/>
      <c r="CD16" s="133" t="e">
        <f>IF(AZ16="","",IF(CD15="","",CD15/AZ17))</f>
        <v>#N/A</v>
      </c>
      <c r="CE16" s="133" t="e">
        <f>IF(BA16="","",IF(CE15="","",CE15/BA17))</f>
        <v>#N/A</v>
      </c>
      <c r="CF16" s="133" t="str">
        <f>IF(BB16="","",IF(CF15="","",CF15/BB17))</f>
        <v/>
      </c>
      <c r="CH16" s="339" t="s">
        <v>125</v>
      </c>
      <c r="CI16" s="339"/>
      <c r="CJ16" s="339"/>
      <c r="CK16" s="339"/>
      <c r="CL16" s="339"/>
      <c r="CM16" s="339"/>
      <c r="CN16" s="339"/>
      <c r="CO16" s="339"/>
      <c r="CP16" s="123" t="e">
        <f>IF(AND(AZ16="",BA16="",BB16=""),"",IF(AZ16&lt;&gt;"",CP15/AZ16/AZ17,IF(BA16&lt;&gt;"",CP15/BA16/BA17,IF(BB16&lt;&gt;"",CP15/BB16/BB17))))</f>
        <v>#N/A</v>
      </c>
      <c r="CS16" s="134" t="s">
        <v>126</v>
      </c>
      <c r="CT16" s="359">
        <f>IFERROR(PRODUCT(CT14*CT15),0)</f>
        <v>0</v>
      </c>
      <c r="CU16" s="360"/>
      <c r="CV16" s="361"/>
      <c r="CW16" s="3"/>
      <c r="CX16" s="135" t="s">
        <v>126</v>
      </c>
      <c r="CY16" s="359">
        <f>IFERROR(PRODUCT(CY14*CY15),0)</f>
        <v>0</v>
      </c>
      <c r="CZ16" s="360"/>
      <c r="DA16" s="361"/>
      <c r="DD16" s="114" t="s">
        <v>127</v>
      </c>
      <c r="DE16" s="346" t="e">
        <f>TRUNC(DE9/DE13,0)</f>
        <v>#N/A</v>
      </c>
      <c r="DF16" s="346"/>
      <c r="DJ16" s="40"/>
      <c r="DK16" s="40"/>
      <c r="DL16" s="40"/>
      <c r="DM16" s="56"/>
      <c r="DN16" s="57"/>
      <c r="DO16" s="57"/>
      <c r="DP16" s="59"/>
      <c r="EU16" s="64"/>
      <c r="EV16" s="64"/>
      <c r="EW16" s="64"/>
      <c r="EX16" s="64"/>
      <c r="EY16" s="64"/>
      <c r="EZ16" s="64"/>
      <c r="FA16" s="64"/>
      <c r="FB16" s="64"/>
      <c r="FC16" s="64"/>
      <c r="FD16" s="64"/>
    </row>
    <row r="17" spans="2:160" ht="15" customHeight="1" thickBot="1" x14ac:dyDescent="0.3">
      <c r="B17" s="10"/>
      <c r="C17" s="93" t="s">
        <v>128</v>
      </c>
      <c r="D17" s="94" t="s">
        <v>81</v>
      </c>
      <c r="E17" s="94">
        <v>4</v>
      </c>
      <c r="F17" s="95">
        <v>8.76</v>
      </c>
      <c r="G17" s="96">
        <f t="shared" si="16"/>
        <v>8.1468000000000007</v>
      </c>
      <c r="H17" s="362" t="s">
        <v>129</v>
      </c>
      <c r="I17" s="363"/>
      <c r="J17" s="363"/>
      <c r="K17" s="363"/>
      <c r="L17" s="363"/>
      <c r="M17" s="364"/>
      <c r="N17" s="14"/>
      <c r="P17" s="1">
        <v>1</v>
      </c>
      <c r="S17" s="136" t="s">
        <v>130</v>
      </c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119"/>
      <c r="AM17" s="119"/>
      <c r="AN17" s="21"/>
      <c r="AO17" s="357" t="s">
        <v>116</v>
      </c>
      <c r="AP17" s="358"/>
      <c r="AQ17" s="127" t="e">
        <f>(AO16*AQ6)/(AP16*AQ16*AQ6)</f>
        <v>#N/A</v>
      </c>
      <c r="AT17" s="313" t="s">
        <v>131</v>
      </c>
      <c r="AU17" s="314"/>
      <c r="AV17" s="314"/>
      <c r="AW17" s="314"/>
      <c r="AX17" s="314"/>
      <c r="AY17" s="315"/>
      <c r="AZ17" s="137" t="str">
        <f>IF(COUNTIF($AL:$AL,AZ14)&gt;0,$AQ$5,"")</f>
        <v>0,5</v>
      </c>
      <c r="BA17" s="137" t="str">
        <f>IF(COUNTIF($AL:$AL,BA14)&gt;0,$AQ$5,"")</f>
        <v>0,5</v>
      </c>
      <c r="BB17" s="137" t="str">
        <f>IF(COUNTIF($AL:$AL,BB14)&gt;0,$AQ$5,"")</f>
        <v/>
      </c>
      <c r="BD17" s="365" t="s">
        <v>132</v>
      </c>
      <c r="BE17" s="366"/>
      <c r="BF17" s="366"/>
      <c r="BG17" s="366"/>
      <c r="BH17" s="366"/>
      <c r="BI17" s="367"/>
      <c r="BJ17" s="122" t="e">
        <f>IF(AZ16="","",IF(BJ15="","",BJ15/AZ16/AZ17))</f>
        <v>#N/A</v>
      </c>
      <c r="BK17" s="122" t="e">
        <f>IF(BA16="","",IF(BK15="","",BK15/BA16/BA17))</f>
        <v>#N/A</v>
      </c>
      <c r="BL17" s="122" t="str">
        <f>IF(BB16="","",IF(BL15="","",BL15/BB16/BB17))</f>
        <v/>
      </c>
      <c r="BN17" s="339" t="s">
        <v>133</v>
      </c>
      <c r="BO17" s="339"/>
      <c r="BP17" s="339"/>
      <c r="BQ17" s="339"/>
      <c r="BR17" s="339"/>
      <c r="BS17" s="339"/>
      <c r="BT17" s="339"/>
      <c r="BU17" s="339"/>
      <c r="BV17" s="138" t="e">
        <f>IF(AND(AZ16="",BA16="",BB16=""),"",IF(AZ16&lt;&gt;"",3600/BV15*AZ16*AZ17,IF(BA16&lt;&gt;"",3600/BV15*BA16*BA17,IF(BB16&lt;&gt;"",3600/BV15*BB16*BB17))))</f>
        <v>#N/A</v>
      </c>
      <c r="BX17" s="365" t="s">
        <v>132</v>
      </c>
      <c r="BY17" s="366"/>
      <c r="BZ17" s="366"/>
      <c r="CA17" s="366"/>
      <c r="CB17" s="366"/>
      <c r="CC17" s="367"/>
      <c r="CD17" s="122" t="e">
        <f>IF(AZ16="","",IF(CD15="","",CD15/AZ16/AZ17))</f>
        <v>#N/A</v>
      </c>
      <c r="CE17" s="122" t="e">
        <f>IF(BA16="","",IF(CE15="","",CE15/BA16/BA17))</f>
        <v>#N/A</v>
      </c>
      <c r="CF17" s="122" t="str">
        <f>IF(BB16="","",IF(CF15="","",CF15/BB16/BB17))</f>
        <v/>
      </c>
      <c r="CH17" s="339" t="s">
        <v>133</v>
      </c>
      <c r="CI17" s="339"/>
      <c r="CJ17" s="339"/>
      <c r="CK17" s="339"/>
      <c r="CL17" s="339"/>
      <c r="CM17" s="339"/>
      <c r="CN17" s="339"/>
      <c r="CO17" s="339"/>
      <c r="CP17" s="138" t="e">
        <f>IF(AND(AZ16="",BA16="",BB16=""),"",IF(AZ16&lt;&gt;"",3600/CP15*AZ16*AZ17,IF(BA16&lt;&gt;"",3600/CP15*BA16*BA17,IF(BB16&lt;&gt;"",3600/CP15*BB16*BB17))))</f>
        <v>#N/A</v>
      </c>
      <c r="CS17" s="139"/>
      <c r="CT17" s="140"/>
      <c r="CU17" s="140"/>
      <c r="CV17" s="140"/>
      <c r="CW17" s="3"/>
      <c r="CX17" s="139"/>
      <c r="CY17" s="140"/>
      <c r="CZ17" s="140"/>
      <c r="DA17" s="140"/>
      <c r="DD17" s="114" t="s">
        <v>134</v>
      </c>
      <c r="DE17" s="346" t="e">
        <f>DE16*DE11</f>
        <v>#N/A</v>
      </c>
      <c r="DF17" s="346"/>
      <c r="DJ17" s="347" t="s">
        <v>135</v>
      </c>
      <c r="DK17" s="347"/>
      <c r="DL17" s="40"/>
      <c r="DM17" s="56"/>
      <c r="DN17" s="57"/>
      <c r="DO17" s="57"/>
      <c r="DP17" s="59"/>
      <c r="ES17" s="64"/>
      <c r="ET17" s="64"/>
      <c r="EU17" s="64"/>
      <c r="EV17" s="64"/>
      <c r="EW17" s="64"/>
      <c r="EX17" s="64"/>
      <c r="EY17" s="64"/>
      <c r="EZ17" s="64"/>
      <c r="FA17" s="64"/>
      <c r="FB17" s="64"/>
      <c r="FC17" s="64"/>
      <c r="FD17" s="64"/>
    </row>
    <row r="18" spans="2:160" ht="15" customHeight="1" x14ac:dyDescent="0.25">
      <c r="B18" s="10"/>
      <c r="C18" s="93"/>
      <c r="D18" s="94"/>
      <c r="E18" s="94"/>
      <c r="F18" s="95">
        <v>0</v>
      </c>
      <c r="G18" s="141"/>
      <c r="H18" s="348" t="s">
        <v>136</v>
      </c>
      <c r="I18" s="349"/>
      <c r="J18" s="349"/>
      <c r="K18" s="349"/>
      <c r="L18" s="349"/>
      <c r="M18" s="350"/>
      <c r="N18" s="14"/>
      <c r="P18" s="1">
        <v>1</v>
      </c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119"/>
      <c r="AM18" s="119"/>
      <c r="AN18" s="21"/>
      <c r="AO18" s="357" t="s">
        <v>137</v>
      </c>
      <c r="AP18" s="358"/>
      <c r="AQ18" s="127">
        <f>L6</f>
        <v>0</v>
      </c>
      <c r="AT18" s="313" t="s">
        <v>138</v>
      </c>
      <c r="AU18" s="314"/>
      <c r="AV18" s="314"/>
      <c r="AW18" s="314"/>
      <c r="AX18" s="314"/>
      <c r="AY18" s="315"/>
      <c r="AZ18" s="142" t="e">
        <f>IF(AZ16="","",IF(COUNTIF($AL:$AL,AZ14)&gt;0,VLOOKUP("X",$AP$8:$AQ$9,2,FALSE),""))</f>
        <v>#N/A</v>
      </c>
      <c r="BA18" s="142" t="e">
        <f>IF(BA16="","",IF(COUNTIF($AL:$AL,BA14)&gt;0,VLOOKUP("X",$AP$8:$AQ$9,2,FALSE),""))</f>
        <v>#N/A</v>
      </c>
      <c r="BB18" s="142" t="str">
        <f>IF(BB16="","",IF(COUNTIF($AL:$AL,BB14)&gt;0,VLOOKUP("X",$AP$8:$AQ$9,2,FALSE),""))</f>
        <v/>
      </c>
      <c r="BN18" s="339" t="s">
        <v>139</v>
      </c>
      <c r="BO18" s="339"/>
      <c r="BP18" s="339"/>
      <c r="BQ18" s="339"/>
      <c r="BR18" s="339"/>
      <c r="BS18" s="339"/>
      <c r="BT18" s="339"/>
      <c r="BU18" s="339"/>
      <c r="BV18" s="132" t="e">
        <f>IF(AZ16="","",AP12)</f>
        <v>#N/A</v>
      </c>
      <c r="CH18" s="339" t="s">
        <v>139</v>
      </c>
      <c r="CI18" s="339"/>
      <c r="CJ18" s="339"/>
      <c r="CK18" s="339"/>
      <c r="CL18" s="339"/>
      <c r="CM18" s="339"/>
      <c r="CN18" s="339"/>
      <c r="CO18" s="339"/>
      <c r="CP18" s="132" t="e">
        <f>IF(AZ16="","",AP12)</f>
        <v>#N/A</v>
      </c>
      <c r="CS18" s="143" t="s">
        <v>140</v>
      </c>
      <c r="CT18" s="310">
        <v>8</v>
      </c>
      <c r="CU18" s="311"/>
      <c r="CV18" s="312"/>
      <c r="CW18" s="3"/>
      <c r="CX18" s="143" t="s">
        <v>140</v>
      </c>
      <c r="CY18" s="310">
        <v>8</v>
      </c>
      <c r="CZ18" s="311"/>
      <c r="DA18" s="312"/>
      <c r="DD18" s="82" t="s">
        <v>137</v>
      </c>
      <c r="DE18" s="144">
        <f>DE10*DE11</f>
        <v>0</v>
      </c>
      <c r="DF18" s="144">
        <f>DF10*DE11</f>
        <v>0</v>
      </c>
      <c r="DJ18" s="341" t="e">
        <f>IF(OR(DK5="",1*LEFT(DJ15,2)&lt;=DK11),"MÁXIMO DE FOLHAS TÉCNICO","MÁXIMO DE FOLHAS VOLUME")</f>
        <v>#N/A</v>
      </c>
      <c r="DK18" s="342"/>
      <c r="DL18" s="40"/>
      <c r="DM18" s="56"/>
      <c r="DN18" s="57"/>
      <c r="DO18" s="57"/>
      <c r="DP18" s="59"/>
      <c r="ES18" s="64"/>
      <c r="ET18" s="64"/>
      <c r="EU18" s="64"/>
      <c r="EV18" s="64"/>
      <c r="EW18" s="64"/>
      <c r="EX18" s="64"/>
      <c r="EY18" s="64"/>
      <c r="EZ18" s="64"/>
      <c r="FA18" s="64"/>
      <c r="FB18" s="64"/>
      <c r="FC18" s="64"/>
      <c r="FD18" s="64"/>
    </row>
    <row r="19" spans="2:160" ht="15" customHeight="1" thickBot="1" x14ac:dyDescent="0.3">
      <c r="B19" s="10"/>
      <c r="C19" s="93"/>
      <c r="D19" s="94"/>
      <c r="E19" s="94"/>
      <c r="F19" s="95">
        <v>0</v>
      </c>
      <c r="G19" s="145" t="s">
        <v>141</v>
      </c>
      <c r="H19" s="351"/>
      <c r="I19" s="352"/>
      <c r="J19" s="352"/>
      <c r="K19" s="352"/>
      <c r="L19" s="352"/>
      <c r="M19" s="353"/>
      <c r="N19" s="14"/>
      <c r="P19" s="1">
        <v>1</v>
      </c>
      <c r="S19" s="136" t="s">
        <v>6</v>
      </c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119"/>
      <c r="AM19" s="119"/>
      <c r="AN19" s="21"/>
      <c r="AO19" s="21"/>
      <c r="AP19" s="21"/>
      <c r="AQ19" s="21"/>
      <c r="AT19" s="343" t="s">
        <v>142</v>
      </c>
      <c r="AU19" s="344"/>
      <c r="AV19" s="344"/>
      <c r="AW19" s="344"/>
      <c r="AX19" s="344"/>
      <c r="AY19" s="345"/>
      <c r="AZ19" s="149" t="e">
        <f>IF(AZ16="","",14)</f>
        <v>#N/A</v>
      </c>
      <c r="BA19" s="149" t="e">
        <f>IF(BA16="","",14)</f>
        <v>#N/A</v>
      </c>
      <c r="BB19" s="150" t="str">
        <f>IF(BB16="","",14)</f>
        <v/>
      </c>
      <c r="BN19" s="339" t="s">
        <v>143</v>
      </c>
      <c r="BO19" s="339"/>
      <c r="BP19" s="339"/>
      <c r="BQ19" s="339"/>
      <c r="BR19" s="339"/>
      <c r="BS19" s="339"/>
      <c r="BT19" s="339"/>
      <c r="BU19" s="339"/>
      <c r="BV19" s="132" t="e">
        <f>IF(BA16="","",AP13)</f>
        <v>#N/A</v>
      </c>
      <c r="CH19" s="339" t="s">
        <v>143</v>
      </c>
      <c r="CI19" s="339"/>
      <c r="CJ19" s="339"/>
      <c r="CK19" s="339"/>
      <c r="CL19" s="339"/>
      <c r="CM19" s="339"/>
      <c r="CN19" s="339"/>
      <c r="CO19" s="339"/>
      <c r="CP19" s="132" t="e">
        <f>IF(BA16="","",AP13)</f>
        <v>#N/A</v>
      </c>
      <c r="CS19" s="151" t="s">
        <v>144</v>
      </c>
      <c r="CT19" s="316">
        <f>PRODUCT(CT16*CT18)</f>
        <v>0</v>
      </c>
      <c r="CU19" s="317"/>
      <c r="CV19" s="318"/>
      <c r="CW19" s="3"/>
      <c r="CX19" s="151" t="s">
        <v>144</v>
      </c>
      <c r="CY19" s="316">
        <f>PRODUCT(CY16*CY18)</f>
        <v>0</v>
      </c>
      <c r="CZ19" s="317"/>
      <c r="DA19" s="318"/>
      <c r="ES19" s="64"/>
      <c r="ET19" s="64"/>
      <c r="EU19" s="64"/>
      <c r="EV19" s="64"/>
      <c r="EW19" s="64"/>
      <c r="EX19" s="64"/>
      <c r="EY19" s="64"/>
      <c r="EZ19" s="64"/>
      <c r="FA19" s="64"/>
      <c r="FB19" s="64"/>
      <c r="FC19" s="64"/>
      <c r="FD19" s="64"/>
    </row>
    <row r="20" spans="2:160" ht="15" customHeight="1" thickBot="1" x14ac:dyDescent="0.3">
      <c r="B20" s="10"/>
      <c r="C20" s="93"/>
      <c r="D20" s="94"/>
      <c r="E20" s="94"/>
      <c r="F20" s="95">
        <v>0</v>
      </c>
      <c r="G20" s="141"/>
      <c r="H20" s="351"/>
      <c r="I20" s="352"/>
      <c r="J20" s="352"/>
      <c r="K20" s="352"/>
      <c r="L20" s="352"/>
      <c r="M20" s="353"/>
      <c r="N20" s="14"/>
      <c r="P20" s="1">
        <v>1</v>
      </c>
      <c r="S20" s="152" t="s">
        <v>145</v>
      </c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119"/>
      <c r="AM20" s="119"/>
      <c r="AN20" s="21"/>
      <c r="AO20" s="21"/>
      <c r="AP20" s="21"/>
      <c r="AQ20" s="21"/>
      <c r="AT20" s="336" t="s">
        <v>146</v>
      </c>
      <c r="AU20" s="337"/>
      <c r="AV20" s="337"/>
      <c r="AW20" s="337"/>
      <c r="AX20" s="337"/>
      <c r="AY20" s="338"/>
      <c r="AZ20" s="156" t="e">
        <f>IF(AZ16="","",17)</f>
        <v>#N/A</v>
      </c>
      <c r="BA20" s="156" t="e">
        <f>IF(BA16="","",17)</f>
        <v>#N/A</v>
      </c>
      <c r="BB20" s="156" t="str">
        <f>IF(BB16="","",17)</f>
        <v/>
      </c>
      <c r="BN20" s="339" t="s">
        <v>147</v>
      </c>
      <c r="BO20" s="339"/>
      <c r="BP20" s="339"/>
      <c r="BQ20" s="339"/>
      <c r="BR20" s="339"/>
      <c r="BS20" s="339"/>
      <c r="BT20" s="339"/>
      <c r="BU20" s="339"/>
      <c r="BV20" s="132" t="str">
        <f>IF(BB16="","",AP14)</f>
        <v/>
      </c>
      <c r="CH20" s="339" t="s">
        <v>147</v>
      </c>
      <c r="CI20" s="339"/>
      <c r="CJ20" s="339"/>
      <c r="CK20" s="339"/>
      <c r="CL20" s="339"/>
      <c r="CM20" s="339"/>
      <c r="CN20" s="339"/>
      <c r="CO20" s="339"/>
      <c r="CP20" s="132" t="str">
        <f>IF(BB16="","",AP14)</f>
        <v/>
      </c>
      <c r="CS20" s="157"/>
      <c r="CT20" s="158"/>
      <c r="CU20" s="158"/>
      <c r="CV20" s="158"/>
      <c r="CW20" s="159"/>
      <c r="CX20" s="157"/>
      <c r="CY20" s="158"/>
      <c r="CZ20" s="158"/>
      <c r="DA20" s="158"/>
      <c r="ES20" s="64"/>
      <c r="ET20" s="64"/>
      <c r="EU20" s="64"/>
      <c r="EV20" s="64"/>
      <c r="EW20" s="64"/>
      <c r="EX20" s="64"/>
      <c r="EY20" s="64"/>
      <c r="EZ20" s="64"/>
      <c r="FA20" s="64"/>
      <c r="FB20" s="64"/>
      <c r="FC20" s="64"/>
      <c r="FD20" s="64"/>
    </row>
    <row r="21" spans="2:160" ht="15" customHeight="1" thickBot="1" x14ac:dyDescent="0.3">
      <c r="B21" s="10"/>
      <c r="C21" s="93"/>
      <c r="D21" s="94"/>
      <c r="E21" s="94"/>
      <c r="F21" s="160">
        <v>0</v>
      </c>
      <c r="G21" s="141"/>
      <c r="H21" s="354"/>
      <c r="I21" s="355"/>
      <c r="J21" s="355"/>
      <c r="K21" s="355"/>
      <c r="L21" s="355"/>
      <c r="M21" s="356"/>
      <c r="N21" s="14"/>
      <c r="P21" s="1">
        <v>1</v>
      </c>
      <c r="S21" s="152" t="s">
        <v>148</v>
      </c>
      <c r="T21" s="152"/>
      <c r="U21" s="152"/>
      <c r="V21" s="152"/>
      <c r="W21" s="152"/>
      <c r="X21" s="152"/>
      <c r="Y21" s="152"/>
      <c r="Z21" s="152"/>
      <c r="AA21" s="152"/>
      <c r="AB21" s="152"/>
      <c r="AC21" s="152"/>
      <c r="AD21" s="152"/>
      <c r="AE21" s="152"/>
      <c r="AF21" s="152"/>
      <c r="AG21" s="152"/>
      <c r="AH21" s="152"/>
      <c r="AI21" s="152"/>
      <c r="AJ21" s="152"/>
      <c r="AK21" s="152"/>
      <c r="AL21" s="161"/>
      <c r="AM21" s="161"/>
      <c r="AN21" s="152"/>
      <c r="AO21" s="152"/>
      <c r="AP21" s="152"/>
      <c r="AQ21" s="152"/>
      <c r="AT21" s="313" t="s">
        <v>149</v>
      </c>
      <c r="AU21" s="314"/>
      <c r="AV21" s="314"/>
      <c r="AW21" s="314"/>
      <c r="AX21" s="314"/>
      <c r="AY21" s="315"/>
      <c r="AZ21" s="162" t="e">
        <f>IF(AZ16="","",(0.8/AZ17)*AZ27)</f>
        <v>#N/A</v>
      </c>
      <c r="BA21" s="162" t="e">
        <f>IF(BA16="","",(0.8/BA17)*BA27)</f>
        <v>#N/A</v>
      </c>
      <c r="BB21" s="162" t="str">
        <f>IF(BB16="","",(0.8/BB17)*BB27)</f>
        <v/>
      </c>
      <c r="BN21" s="340" t="s">
        <v>110</v>
      </c>
      <c r="BO21" s="340"/>
      <c r="BP21" s="340"/>
      <c r="BQ21" s="340"/>
      <c r="BR21" s="340"/>
      <c r="BS21" s="340"/>
      <c r="BT21" s="340"/>
      <c r="BU21" s="340"/>
      <c r="BV21" s="163" t="e">
        <f>IF(AND(BV18="",BV19="",BV20=""),"",SUM(BV18:BV20))</f>
        <v>#N/A</v>
      </c>
      <c r="CH21" s="340" t="s">
        <v>110</v>
      </c>
      <c r="CI21" s="340"/>
      <c r="CJ21" s="340"/>
      <c r="CK21" s="340"/>
      <c r="CL21" s="340"/>
      <c r="CM21" s="340"/>
      <c r="CN21" s="340"/>
      <c r="CO21" s="340"/>
      <c r="CP21" s="163" t="e">
        <f>IF(AND(CP18="",CP19="",CP20=""),"",SUM(CP18:CP20))</f>
        <v>#N/A</v>
      </c>
      <c r="CS21" s="143" t="s">
        <v>150</v>
      </c>
      <c r="CT21" s="310">
        <v>2</v>
      </c>
      <c r="CU21" s="311"/>
      <c r="CV21" s="312"/>
      <c r="CW21" s="159"/>
      <c r="CX21" s="143" t="s">
        <v>150</v>
      </c>
      <c r="CY21" s="310">
        <v>4</v>
      </c>
      <c r="CZ21" s="311"/>
      <c r="DA21" s="312"/>
      <c r="DD21" s="1" t="s">
        <v>151</v>
      </c>
      <c r="DE21" s="164" t="e">
        <f>IF(AND($DE$18&gt;=$DF$18,$DE$14&lt;$DE$9),$DE$18,IF(AND($DF$18&gt;=$DE$18,$DF$14&lt;$DE$9),$DF$18,$DE$17))</f>
        <v>#N/A</v>
      </c>
      <c r="ES21" s="64"/>
      <c r="ET21" s="64"/>
      <c r="EU21" s="64"/>
      <c r="EV21" s="64"/>
      <c r="EW21" s="64"/>
      <c r="EX21" s="64"/>
      <c r="EY21" s="64"/>
      <c r="EZ21" s="64"/>
      <c r="FA21" s="64"/>
      <c r="FB21" s="64"/>
      <c r="FC21" s="64"/>
      <c r="FD21" s="64"/>
    </row>
    <row r="22" spans="2:160" ht="6" customHeight="1" thickBot="1" x14ac:dyDescent="0.3">
      <c r="B22" s="10"/>
      <c r="C22" s="84"/>
      <c r="D22" s="165"/>
      <c r="E22" s="166"/>
      <c r="F22" s="69"/>
      <c r="G22" s="71"/>
      <c r="H22" s="69"/>
      <c r="I22" s="70"/>
      <c r="J22" s="70"/>
      <c r="K22" s="70"/>
      <c r="L22" s="167"/>
      <c r="M22" s="71"/>
      <c r="N22" s="14"/>
      <c r="P22" s="1">
        <v>1</v>
      </c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119"/>
      <c r="AM22" s="119"/>
      <c r="AN22" s="21"/>
      <c r="AO22" s="21"/>
      <c r="AP22" s="21"/>
      <c r="AQ22" s="21"/>
      <c r="AT22" s="313" t="s">
        <v>152</v>
      </c>
      <c r="AU22" s="314"/>
      <c r="AV22" s="314"/>
      <c r="AW22" s="314"/>
      <c r="AX22" s="314"/>
      <c r="AY22" s="315"/>
      <c r="AZ22" s="162" t="e">
        <f>IF(AZ16="","",AQ17)</f>
        <v>#N/A</v>
      </c>
      <c r="BA22" s="162" t="e">
        <f>IF(BA16="","",AQ17)</f>
        <v>#N/A</v>
      </c>
      <c r="BB22" s="162" t="str">
        <f>IF(BB16="","",AQ17)</f>
        <v/>
      </c>
      <c r="CS22" s="151" t="s">
        <v>153</v>
      </c>
      <c r="CT22" s="316">
        <f>CT19/CT21</f>
        <v>0</v>
      </c>
      <c r="CU22" s="317"/>
      <c r="CV22" s="318"/>
      <c r="CW22" s="159"/>
      <c r="CX22" s="151" t="s">
        <v>153</v>
      </c>
      <c r="CY22" s="316">
        <f>CY19/CY21</f>
        <v>0</v>
      </c>
      <c r="CZ22" s="317"/>
      <c r="DA22" s="318"/>
      <c r="ES22" s="64"/>
      <c r="ET22" s="64"/>
      <c r="EU22" s="64"/>
      <c r="EV22" s="64"/>
      <c r="EW22" s="64"/>
      <c r="EX22" s="64"/>
      <c r="EY22" s="64"/>
      <c r="EZ22" s="64"/>
      <c r="FA22" s="64"/>
      <c r="FB22" s="64"/>
      <c r="FC22" s="64"/>
      <c r="FD22" s="64"/>
    </row>
    <row r="23" spans="2:160" ht="15.75" customHeight="1" thickBot="1" x14ac:dyDescent="0.3">
      <c r="B23" s="10"/>
      <c r="C23" s="319" t="s">
        <v>154</v>
      </c>
      <c r="D23" s="320"/>
      <c r="E23" s="320"/>
      <c r="F23" s="320"/>
      <c r="G23" s="320"/>
      <c r="H23" s="320"/>
      <c r="I23" s="320"/>
      <c r="J23" s="320"/>
      <c r="K23" s="320"/>
      <c r="L23" s="320"/>
      <c r="M23" s="321"/>
      <c r="N23" s="14"/>
      <c r="P23" s="1">
        <v>1</v>
      </c>
      <c r="S23" s="136" t="s">
        <v>85</v>
      </c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119"/>
      <c r="AM23" s="119"/>
      <c r="AN23" s="21"/>
      <c r="AO23" s="21"/>
      <c r="AP23" s="21"/>
      <c r="AQ23" s="21"/>
      <c r="AT23" s="129" t="s">
        <v>155</v>
      </c>
      <c r="AU23" s="130"/>
      <c r="AV23" s="130"/>
      <c r="AW23" s="130"/>
      <c r="AX23" s="130"/>
      <c r="AY23" s="131"/>
      <c r="AZ23" s="168" t="e">
        <f>IF(AZ16&lt;&gt;"",27/$AQ$18,"")</f>
        <v>#N/A</v>
      </c>
      <c r="BA23" s="168" t="e">
        <f>IF(BA16&lt;&gt;"",27/$AQ$18,"")</f>
        <v>#N/A</v>
      </c>
      <c r="BB23" s="168" t="str">
        <f>IF(BB16&lt;&gt;"",27/$AQ$18,"")</f>
        <v/>
      </c>
      <c r="BN23" s="322" t="s">
        <v>156</v>
      </c>
      <c r="BO23" s="323"/>
      <c r="BP23" s="323"/>
      <c r="BQ23" s="323"/>
      <c r="BR23" s="323"/>
      <c r="BS23" s="323"/>
      <c r="BT23" s="323"/>
      <c r="BU23" s="323"/>
      <c r="BV23" s="324"/>
      <c r="ES23" s="64"/>
      <c r="ET23" s="64"/>
      <c r="EU23" s="64"/>
      <c r="EV23" s="64"/>
      <c r="EW23" s="64"/>
      <c r="EX23" s="64"/>
      <c r="EY23" s="64"/>
      <c r="EZ23" s="64"/>
      <c r="FA23" s="64"/>
      <c r="FB23" s="64"/>
      <c r="FC23" s="64"/>
      <c r="FD23" s="64"/>
    </row>
    <row r="24" spans="2:160" ht="6" customHeight="1" x14ac:dyDescent="0.25">
      <c r="B24" s="10"/>
      <c r="C24" s="169"/>
      <c r="D24" s="170"/>
      <c r="E24" s="170"/>
      <c r="F24" s="171"/>
      <c r="G24" s="172"/>
      <c r="H24" s="6"/>
      <c r="I24" s="6"/>
      <c r="J24" s="173"/>
      <c r="K24" s="171"/>
      <c r="L24" s="171"/>
      <c r="M24" s="174"/>
      <c r="N24" s="175"/>
      <c r="O24" s="176"/>
      <c r="P24" s="1">
        <v>1</v>
      </c>
      <c r="S24" s="152" t="s">
        <v>157</v>
      </c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119"/>
      <c r="AM24" s="119"/>
      <c r="AN24" s="21"/>
      <c r="AO24" s="21"/>
      <c r="AP24" s="21"/>
      <c r="AQ24" s="21"/>
      <c r="AT24" s="129" t="s">
        <v>158</v>
      </c>
      <c r="AU24" s="130"/>
      <c r="AV24" s="130"/>
      <c r="AW24" s="130"/>
      <c r="AX24" s="130"/>
      <c r="AY24" s="131"/>
      <c r="AZ24" s="168" t="e">
        <f>IF(AZ16&lt;&gt;"",$AK$15*0.5,"")</f>
        <v>#N/A</v>
      </c>
      <c r="BA24" s="168" t="e">
        <f>IF(BA16&lt;&gt;"",$AK$15*0.5,"")</f>
        <v>#N/A</v>
      </c>
      <c r="BB24" s="168" t="str">
        <f>IF(BB16&lt;&gt;"",$AK$15*0.5,"")</f>
        <v/>
      </c>
      <c r="BN24" s="325"/>
      <c r="BO24" s="326"/>
      <c r="BP24" s="326"/>
      <c r="BQ24" s="326"/>
      <c r="BR24" s="326"/>
      <c r="BS24" s="326"/>
      <c r="BT24" s="326"/>
      <c r="BU24" s="326"/>
      <c r="BV24" s="327"/>
      <c r="ES24" s="64"/>
      <c r="ET24" s="64"/>
      <c r="EU24" s="64"/>
      <c r="EV24" s="64"/>
      <c r="EW24" s="64"/>
      <c r="EX24" s="64"/>
      <c r="EY24" s="64"/>
    </row>
    <row r="25" spans="2:160" ht="14.1" customHeight="1" x14ac:dyDescent="0.25">
      <c r="B25" s="10"/>
      <c r="C25" s="331" t="s">
        <v>159</v>
      </c>
      <c r="D25" s="332"/>
      <c r="E25" s="332"/>
      <c r="G25" s="178"/>
      <c r="H25" s="179"/>
      <c r="I25" s="176"/>
      <c r="J25" s="333" t="s">
        <v>160</v>
      </c>
      <c r="K25" s="334"/>
      <c r="L25" s="335"/>
      <c r="M25" s="14"/>
      <c r="N25" s="180"/>
      <c r="O25" s="181"/>
      <c r="P25" s="1">
        <v>1</v>
      </c>
      <c r="Q25" s="181"/>
      <c r="R25" s="181"/>
      <c r="S25" s="152" t="s">
        <v>161</v>
      </c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119"/>
      <c r="AM25" s="119"/>
      <c r="AN25" s="21"/>
      <c r="AO25" s="21"/>
      <c r="AP25" s="21"/>
      <c r="AQ25" s="21"/>
      <c r="AT25" s="129" t="s">
        <v>162</v>
      </c>
      <c r="AU25" s="130"/>
      <c r="AV25" s="130"/>
      <c r="AW25" s="130"/>
      <c r="AX25" s="130"/>
      <c r="AY25" s="131"/>
      <c r="AZ25" s="168" t="e">
        <f>IF(AZ16="","",IF(COUNTIF($AL:$AL,AZ14)&gt;0,AQ12,""))</f>
        <v>#N/A</v>
      </c>
      <c r="BA25" s="168" t="e">
        <f>IF(BA16="","",IF(COUNTIF($AL:$AL,BA14)&gt;0,AQ13,""))</f>
        <v>#N/A</v>
      </c>
      <c r="BB25" s="168" t="str">
        <f>IF(BB16="","",IF(COUNTIF($AL:$AL,BB14)&gt;0,AQ14,""))</f>
        <v/>
      </c>
      <c r="BN25" s="325"/>
      <c r="BO25" s="326"/>
      <c r="BP25" s="326"/>
      <c r="BQ25" s="326"/>
      <c r="BR25" s="326"/>
      <c r="BS25" s="326"/>
      <c r="BT25" s="326"/>
      <c r="BU25" s="326"/>
      <c r="BV25" s="327"/>
      <c r="ES25" s="64"/>
      <c r="ET25" s="64"/>
      <c r="EU25" s="64"/>
      <c r="EV25" s="64"/>
      <c r="EW25" s="64"/>
      <c r="EX25" s="64"/>
      <c r="EY25" s="64"/>
    </row>
    <row r="26" spans="2:160" ht="12.75" customHeight="1" x14ac:dyDescent="0.2">
      <c r="B26" s="10"/>
      <c r="C26" s="10"/>
      <c r="H26" s="181"/>
      <c r="I26" s="181"/>
      <c r="J26" s="182" t="s">
        <v>163</v>
      </c>
      <c r="K26" s="182" t="s">
        <v>164</v>
      </c>
      <c r="L26" s="182" t="s">
        <v>165</v>
      </c>
      <c r="M26" s="14"/>
      <c r="N26" s="180"/>
      <c r="O26" s="181"/>
      <c r="P26" s="1">
        <v>1</v>
      </c>
      <c r="Q26" s="181"/>
      <c r="R26" s="181"/>
      <c r="AT26" s="129" t="s">
        <v>166</v>
      </c>
      <c r="AU26" s="130"/>
      <c r="AV26" s="130"/>
      <c r="AW26" s="130"/>
      <c r="AX26" s="130"/>
      <c r="AY26" s="131"/>
      <c r="AZ26" s="123" t="e">
        <f>IF($AZ16="","",(AZ16*AZ17))</f>
        <v>#N/A</v>
      </c>
      <c r="BA26" s="123" t="e">
        <f>IF($BA16="","",(BA16*BA17))</f>
        <v>#N/A</v>
      </c>
      <c r="BB26" s="123" t="str">
        <f>IF($BB16="","",(BB16*BB17))</f>
        <v/>
      </c>
      <c r="BN26" s="325"/>
      <c r="BO26" s="326"/>
      <c r="BP26" s="326"/>
      <c r="BQ26" s="326"/>
      <c r="BR26" s="326"/>
      <c r="BS26" s="326"/>
      <c r="BT26" s="326"/>
      <c r="BU26" s="326"/>
      <c r="BV26" s="327"/>
      <c r="ES26" s="64"/>
      <c r="ET26" s="64"/>
      <c r="EU26" s="64"/>
      <c r="EV26" s="64"/>
      <c r="EW26" s="64"/>
      <c r="EX26" s="64"/>
      <c r="EY26" s="64"/>
    </row>
    <row r="27" spans="2:160" ht="14.1" customHeight="1" x14ac:dyDescent="0.2">
      <c r="B27" s="10"/>
      <c r="C27" s="10"/>
      <c r="D27" s="183"/>
      <c r="G27" s="183"/>
      <c r="J27" s="184" t="str">
        <f t="shared" ref="J27:J33" si="17">C11</f>
        <v>334</v>
      </c>
      <c r="K27" s="185" t="s">
        <v>167</v>
      </c>
      <c r="L27" s="185">
        <v>28.74</v>
      </c>
      <c r="M27" s="14"/>
      <c r="N27" s="186"/>
      <c r="O27" s="183"/>
      <c r="P27" s="1">
        <v>1</v>
      </c>
      <c r="AT27" s="129" t="s">
        <v>168</v>
      </c>
      <c r="AU27" s="130"/>
      <c r="AV27" s="130"/>
      <c r="AW27" s="130"/>
      <c r="AX27" s="130"/>
      <c r="AY27" s="131"/>
      <c r="AZ27" s="123" t="e">
        <f>IF($AZ16="","",(AZ16*AZ17*AZ25))</f>
        <v>#N/A</v>
      </c>
      <c r="BA27" s="123" t="e">
        <f>IF($BA16="","",(BA16*BA17*BA25))</f>
        <v>#N/A</v>
      </c>
      <c r="BB27" s="123" t="str">
        <f>IF($BB16="","",(BB16*BB17*BB25))</f>
        <v/>
      </c>
      <c r="BN27" s="328"/>
      <c r="BO27" s="329"/>
      <c r="BP27" s="329"/>
      <c r="BQ27" s="329"/>
      <c r="BR27" s="329"/>
      <c r="BS27" s="329"/>
      <c r="BT27" s="329"/>
      <c r="BU27" s="329"/>
      <c r="BV27" s="330"/>
      <c r="ES27" s="64"/>
      <c r="ET27" s="64"/>
      <c r="EU27" s="64"/>
      <c r="EV27" s="64"/>
      <c r="EW27" s="64"/>
      <c r="EX27" s="64"/>
      <c r="EY27" s="64"/>
    </row>
    <row r="28" spans="2:160" ht="14.1" customHeight="1" x14ac:dyDescent="0.2">
      <c r="B28" s="10"/>
      <c r="C28" s="187"/>
      <c r="D28" s="183"/>
      <c r="G28" s="183"/>
      <c r="J28" s="184" t="str">
        <f t="shared" si="17"/>
        <v>35</v>
      </c>
      <c r="K28" s="185" t="s">
        <v>169</v>
      </c>
      <c r="L28" s="185">
        <v>29.55</v>
      </c>
      <c r="M28" s="14"/>
      <c r="N28" s="186"/>
      <c r="O28" s="183"/>
      <c r="P28" s="1">
        <v>1</v>
      </c>
      <c r="AT28" s="146" t="s">
        <v>170</v>
      </c>
      <c r="AU28" s="147"/>
      <c r="AV28" s="147"/>
      <c r="AW28" s="147"/>
      <c r="AX28" s="147"/>
      <c r="AY28" s="148"/>
      <c r="AZ28" s="188" t="e">
        <f>IF(AZ16="","",IF(AZ18="","",AZ18/AZ26))</f>
        <v>#N/A</v>
      </c>
      <c r="BA28" s="188" t="e">
        <f>IF(BA16="","",IF(BA18="","",BA18/BA26))</f>
        <v>#N/A</v>
      </c>
      <c r="BB28" s="188" t="str">
        <f>IF(BB16="","",IF(BB18="","",BB18/BB26))</f>
        <v/>
      </c>
      <c r="ES28" s="64"/>
      <c r="ET28" s="64"/>
      <c r="EU28" s="64"/>
      <c r="EV28" s="64"/>
      <c r="EW28" s="64"/>
      <c r="EX28" s="64"/>
      <c r="EY28" s="64"/>
    </row>
    <row r="29" spans="2:160" ht="14.1" customHeight="1" x14ac:dyDescent="0.2">
      <c r="B29" s="10"/>
      <c r="C29" s="187"/>
      <c r="D29" s="183"/>
      <c r="G29" s="183"/>
      <c r="J29" s="184" t="str">
        <f t="shared" si="17"/>
        <v>36</v>
      </c>
      <c r="K29" s="185" t="s">
        <v>171</v>
      </c>
      <c r="L29" s="185">
        <v>30.28</v>
      </c>
      <c r="M29" s="14"/>
      <c r="N29" s="186"/>
      <c r="O29" s="183"/>
      <c r="P29" s="1">
        <v>1</v>
      </c>
      <c r="AT29" s="146" t="s">
        <v>172</v>
      </c>
      <c r="AU29" s="147"/>
      <c r="AV29" s="147"/>
      <c r="AW29" s="147"/>
      <c r="AX29" s="147"/>
      <c r="AY29" s="148"/>
      <c r="AZ29" s="188" t="str">
        <f>IFERROR(AZ19/AZ27,"")</f>
        <v/>
      </c>
      <c r="BA29" s="188" t="str">
        <f>IFERROR(BA19/BA27,"")</f>
        <v/>
      </c>
      <c r="BB29" s="188" t="str">
        <f>IFERROR(BB19/BB27,"")</f>
        <v/>
      </c>
      <c r="ES29" s="64"/>
      <c r="ET29" s="64"/>
      <c r="EU29" s="64"/>
      <c r="EV29" s="189"/>
      <c r="EW29" s="64"/>
      <c r="EX29" s="64"/>
      <c r="EY29" s="64"/>
    </row>
    <row r="30" spans="2:160" ht="14.1" customHeight="1" x14ac:dyDescent="0.2">
      <c r="B30" s="10"/>
      <c r="C30" s="187"/>
      <c r="D30" s="183"/>
      <c r="J30" s="184" t="str">
        <f t="shared" si="17"/>
        <v>37</v>
      </c>
      <c r="K30" s="190" t="s">
        <v>173</v>
      </c>
      <c r="L30" s="185">
        <v>31.05</v>
      </c>
      <c r="M30" s="14"/>
      <c r="N30" s="186"/>
      <c r="O30" s="183"/>
      <c r="P30" s="1">
        <v>1</v>
      </c>
      <c r="AT30" s="153" t="s">
        <v>174</v>
      </c>
      <c r="AU30" s="154"/>
      <c r="AV30" s="154"/>
      <c r="AW30" s="154"/>
      <c r="AX30" s="154"/>
      <c r="AY30" s="155"/>
      <c r="AZ30" s="191" t="str">
        <f>IFERROR(AZ20/AZ27,"")</f>
        <v/>
      </c>
      <c r="BA30" s="191" t="str">
        <f>IFERROR(BA20/BA27,"")</f>
        <v/>
      </c>
      <c r="BB30" s="191" t="str">
        <f>IFERROR(BB20/BB27,"")</f>
        <v/>
      </c>
      <c r="ES30" s="64"/>
      <c r="ET30" s="64"/>
      <c r="EU30" s="64"/>
      <c r="EV30" s="64"/>
      <c r="EW30" s="64"/>
      <c r="EX30" s="64"/>
      <c r="EY30" s="64"/>
    </row>
    <row r="31" spans="2:160" ht="11.25" customHeight="1" x14ac:dyDescent="0.25">
      <c r="B31" s="10"/>
      <c r="C31" s="192"/>
      <c r="D31" s="183"/>
      <c r="E31" s="193"/>
      <c r="J31" s="184" t="str">
        <f t="shared" si="17"/>
        <v>38</v>
      </c>
      <c r="K31" s="185" t="s">
        <v>175</v>
      </c>
      <c r="L31" s="185">
        <v>31.82</v>
      </c>
      <c r="M31" s="14"/>
      <c r="N31" s="194"/>
      <c r="O31" s="193"/>
      <c r="P31" s="1">
        <v>1</v>
      </c>
      <c r="AT31" s="146" t="s">
        <v>176</v>
      </c>
      <c r="AU31" s="147"/>
      <c r="AV31" s="147"/>
      <c r="AW31" s="147"/>
      <c r="AX31" s="147"/>
      <c r="AY31" s="148"/>
      <c r="AZ31" s="188" t="str">
        <f>IFERROR(AZ21/AZ27,"")</f>
        <v/>
      </c>
      <c r="BA31" s="188" t="str">
        <f>IFERROR(BA21/BA27,"")</f>
        <v/>
      </c>
      <c r="BB31" s="188" t="str">
        <f>IFERROR(BB21/BB27,"")</f>
        <v/>
      </c>
      <c r="ES31" s="64"/>
      <c r="ET31" s="64"/>
      <c r="EU31" s="64"/>
      <c r="EV31" s="64"/>
      <c r="EW31" s="64"/>
      <c r="EX31" s="64"/>
      <c r="EY31" s="64"/>
    </row>
    <row r="32" spans="2:160" ht="14.1" customHeight="1" x14ac:dyDescent="0.2">
      <c r="B32" s="10"/>
      <c r="C32" s="10"/>
      <c r="J32" s="184" t="str">
        <f t="shared" si="17"/>
        <v>39</v>
      </c>
      <c r="K32" s="185" t="s">
        <v>177</v>
      </c>
      <c r="L32" s="185">
        <v>32.6</v>
      </c>
      <c r="M32" s="14"/>
      <c r="N32" s="14"/>
      <c r="P32" s="1">
        <v>1</v>
      </c>
      <c r="AT32" s="146" t="s">
        <v>178</v>
      </c>
      <c r="AU32" s="147"/>
      <c r="AV32" s="147"/>
      <c r="AW32" s="147"/>
      <c r="AX32" s="147"/>
      <c r="AY32" s="148"/>
      <c r="AZ32" s="188" t="e">
        <f>AZ22</f>
        <v>#N/A</v>
      </c>
      <c r="BA32" s="188" t="e">
        <f>BA22</f>
        <v>#N/A</v>
      </c>
      <c r="BB32" s="188" t="str">
        <f>BB22</f>
        <v/>
      </c>
      <c r="ES32" s="64"/>
      <c r="ET32" s="64"/>
      <c r="EU32" s="64"/>
      <c r="EV32" s="64"/>
      <c r="EW32" s="64"/>
      <c r="EX32" s="64"/>
      <c r="EY32" s="64"/>
    </row>
    <row r="33" spans="2:158" ht="14.1" customHeight="1" x14ac:dyDescent="0.2">
      <c r="B33" s="10"/>
      <c r="C33" s="10"/>
      <c r="F33" s="296"/>
      <c r="G33" s="296"/>
      <c r="H33" s="296"/>
      <c r="J33" s="184" t="str">
        <f t="shared" si="17"/>
        <v>40</v>
      </c>
      <c r="K33" s="185" t="s">
        <v>179</v>
      </c>
      <c r="L33" s="185">
        <v>33.369999999999997</v>
      </c>
      <c r="M33" s="14"/>
      <c r="N33" s="14"/>
      <c r="P33" s="1">
        <v>1</v>
      </c>
      <c r="AT33" s="153" t="s">
        <v>180</v>
      </c>
      <c r="AU33" s="154"/>
      <c r="AV33" s="154"/>
      <c r="AW33" s="154"/>
      <c r="AX33" s="154"/>
      <c r="AY33" s="155"/>
      <c r="AZ33" s="191" t="e">
        <f>AZ22</f>
        <v>#N/A</v>
      </c>
      <c r="BA33" s="191" t="e">
        <f>BA22</f>
        <v>#N/A</v>
      </c>
      <c r="BB33" s="191" t="str">
        <f>BB22</f>
        <v/>
      </c>
      <c r="ES33" s="64"/>
      <c r="ET33" s="64"/>
      <c r="EU33" s="64"/>
      <c r="EV33" s="64"/>
      <c r="EW33" s="64"/>
      <c r="EX33" s="64"/>
      <c r="EY33" s="64"/>
    </row>
    <row r="34" spans="2:158" ht="14.1" customHeight="1" x14ac:dyDescent="0.25">
      <c r="B34" s="10"/>
      <c r="C34" s="195"/>
      <c r="F34" s="296"/>
      <c r="G34" s="296"/>
      <c r="H34" s="296"/>
      <c r="J34" s="183"/>
      <c r="K34" s="183"/>
      <c r="L34" s="183"/>
      <c r="M34" s="14"/>
      <c r="N34" s="14"/>
      <c r="P34" s="1">
        <v>1</v>
      </c>
      <c r="AT34" s="146" t="s">
        <v>181</v>
      </c>
      <c r="AU34" s="147"/>
      <c r="AV34" s="147"/>
      <c r="AW34" s="147"/>
      <c r="AX34" s="147"/>
      <c r="AY34" s="148"/>
      <c r="AZ34" s="188" t="str">
        <f>IFERROR(AZ24/AZ27,"")</f>
        <v/>
      </c>
      <c r="BA34" s="188" t="str">
        <f>IFERROR(BA24/BA27,"")</f>
        <v/>
      </c>
      <c r="BB34" s="188" t="str">
        <f>IFERROR(BB24/BB27,"")</f>
        <v/>
      </c>
      <c r="ES34" s="64"/>
      <c r="ET34" s="64"/>
      <c r="EU34" s="64"/>
      <c r="EV34" s="64"/>
      <c r="EW34" s="64"/>
      <c r="EX34" s="64"/>
      <c r="EY34" s="64"/>
    </row>
    <row r="35" spans="2:158" ht="20.25" customHeight="1" x14ac:dyDescent="0.3">
      <c r="B35" s="10"/>
      <c r="C35" s="10"/>
      <c r="E35" s="196"/>
      <c r="F35" s="296"/>
      <c r="G35" s="296"/>
      <c r="H35" s="296"/>
      <c r="J35" s="297" t="s">
        <v>182</v>
      </c>
      <c r="K35" s="297"/>
      <c r="L35" s="183"/>
      <c r="M35" s="14"/>
      <c r="N35" s="14"/>
      <c r="P35" s="1">
        <v>1</v>
      </c>
      <c r="AT35" s="146" t="s">
        <v>183</v>
      </c>
      <c r="AU35" s="147"/>
      <c r="AV35" s="147"/>
      <c r="AW35" s="147"/>
      <c r="AX35" s="147"/>
      <c r="AY35" s="148"/>
      <c r="AZ35" s="188" t="e">
        <f>AZ23</f>
        <v>#N/A</v>
      </c>
      <c r="BA35" s="188" t="e">
        <f>BA23</f>
        <v>#N/A</v>
      </c>
      <c r="BB35" s="188" t="str">
        <f>BB23</f>
        <v/>
      </c>
      <c r="ES35" s="64"/>
      <c r="ET35" s="64"/>
      <c r="EU35" s="64"/>
      <c r="EV35" s="64"/>
      <c r="EW35" s="64"/>
      <c r="EX35" s="64"/>
      <c r="EY35" s="64"/>
    </row>
    <row r="36" spans="2:158" s="202" customFormat="1" ht="17.25" customHeight="1" x14ac:dyDescent="0.35">
      <c r="B36" s="197"/>
      <c r="C36" s="198"/>
      <c r="D36" s="199"/>
      <c r="E36" s="196"/>
      <c r="F36" s="296"/>
      <c r="G36" s="296"/>
      <c r="H36" s="296"/>
      <c r="I36" s="196"/>
      <c r="J36" s="200" t="s">
        <v>184</v>
      </c>
      <c r="K36" s="183"/>
      <c r="L36" s="183"/>
      <c r="M36" s="201"/>
      <c r="N36" s="201"/>
      <c r="P36" s="202">
        <v>1</v>
      </c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77"/>
      <c r="AU36" s="177"/>
      <c r="AV36" s="177"/>
      <c r="AW36" s="177"/>
      <c r="AX36" s="177"/>
      <c r="AY36" s="99"/>
      <c r="AZ36" s="99"/>
      <c r="BA36" s="99"/>
      <c r="BB36" s="99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99"/>
      <c r="ET36" s="199"/>
      <c r="EU36" s="199"/>
      <c r="EV36" s="199"/>
      <c r="EW36" s="199"/>
      <c r="EX36" s="199"/>
      <c r="EY36" s="199"/>
    </row>
    <row r="37" spans="2:158" ht="14.1" customHeight="1" x14ac:dyDescent="0.2">
      <c r="B37" s="203"/>
      <c r="C37" s="10"/>
      <c r="E37" s="181"/>
      <c r="F37" s="296"/>
      <c r="G37" s="296"/>
      <c r="H37" s="296"/>
      <c r="I37" s="181"/>
      <c r="J37" s="204">
        <f>C21</f>
        <v>0</v>
      </c>
      <c r="K37" s="205">
        <v>0</v>
      </c>
      <c r="L37" s="205">
        <v>0</v>
      </c>
      <c r="M37" s="14"/>
      <c r="N37" s="14"/>
      <c r="P37" s="1">
        <v>1</v>
      </c>
      <c r="ES37" s="64"/>
      <c r="ET37" s="64"/>
      <c r="EU37" s="64"/>
      <c r="EV37" s="64"/>
      <c r="EW37" s="64"/>
      <c r="EX37" s="64"/>
      <c r="EY37" s="64"/>
    </row>
    <row r="38" spans="2:158" x14ac:dyDescent="0.2">
      <c r="B38" s="10"/>
      <c r="C38" s="187"/>
      <c r="D38" s="183"/>
      <c r="F38" s="296"/>
      <c r="G38" s="296"/>
      <c r="H38" s="296"/>
      <c r="J38" s="183"/>
      <c r="K38" s="183"/>
      <c r="M38" s="14"/>
      <c r="N38" s="14"/>
      <c r="P38" s="1">
        <v>1</v>
      </c>
      <c r="ES38" s="64"/>
      <c r="ET38" s="64"/>
      <c r="EU38" s="64"/>
      <c r="EV38" s="64"/>
      <c r="EW38" s="64"/>
      <c r="EX38" s="64"/>
      <c r="EY38" s="64"/>
    </row>
    <row r="39" spans="2:158" ht="5.0999999999999996" customHeight="1" x14ac:dyDescent="0.2">
      <c r="B39" s="10"/>
      <c r="C39" s="187"/>
      <c r="D39" s="183"/>
      <c r="G39" s="183"/>
      <c r="M39" s="14"/>
      <c r="N39" s="14"/>
      <c r="P39" s="1">
        <v>1</v>
      </c>
      <c r="ES39" s="64"/>
      <c r="ET39" s="64"/>
      <c r="EU39" s="64"/>
      <c r="EV39" s="64"/>
      <c r="EW39" s="64"/>
      <c r="EX39" s="64"/>
      <c r="EY39" s="64"/>
    </row>
    <row r="40" spans="2:158" ht="5.0999999999999996" customHeight="1" x14ac:dyDescent="0.25">
      <c r="B40" s="10"/>
      <c r="C40" s="187"/>
      <c r="D40" s="183"/>
      <c r="G40" s="183"/>
      <c r="H40" s="206"/>
      <c r="I40" s="206"/>
      <c r="M40" s="14"/>
      <c r="N40" s="14"/>
      <c r="P40" s="1">
        <v>1</v>
      </c>
      <c r="ES40" s="60"/>
      <c r="ET40" s="60"/>
      <c r="EU40" s="60"/>
      <c r="EV40" s="60"/>
      <c r="EW40" s="60"/>
    </row>
    <row r="41" spans="2:158" ht="5.0999999999999996" customHeight="1" x14ac:dyDescent="0.25">
      <c r="B41" s="10"/>
      <c r="C41" s="192"/>
      <c r="D41" s="183"/>
      <c r="F41" s="193"/>
      <c r="G41" s="176"/>
      <c r="J41" s="183"/>
      <c r="K41" s="193"/>
      <c r="L41" s="207"/>
      <c r="M41" s="208"/>
      <c r="N41" s="14"/>
      <c r="P41" s="1">
        <v>1</v>
      </c>
      <c r="ES41" s="60"/>
      <c r="ET41" s="60"/>
      <c r="EU41" s="60"/>
      <c r="EV41" s="60"/>
      <c r="EW41" s="60"/>
    </row>
    <row r="42" spans="2:158" ht="6" customHeight="1" thickBot="1" x14ac:dyDescent="0.3">
      <c r="B42" s="10"/>
      <c r="C42" s="192"/>
      <c r="D42" s="183"/>
      <c r="J42" s="209"/>
      <c r="K42" s="183"/>
      <c r="M42" s="14"/>
      <c r="N42" s="14"/>
      <c r="P42" s="1">
        <v>1</v>
      </c>
      <c r="ES42" s="60"/>
      <c r="ET42" s="60"/>
      <c r="EU42" s="60"/>
      <c r="EV42" s="60"/>
      <c r="EW42" s="60"/>
    </row>
    <row r="43" spans="2:158" ht="21" thickBot="1" x14ac:dyDescent="0.35">
      <c r="B43" s="10"/>
      <c r="C43" s="298" t="s">
        <v>185</v>
      </c>
      <c r="D43" s="299"/>
      <c r="E43" s="299"/>
      <c r="F43" s="299"/>
      <c r="G43" s="299"/>
      <c r="H43" s="299"/>
      <c r="I43" s="299"/>
      <c r="J43" s="299"/>
      <c r="K43" s="299"/>
      <c r="L43" s="299"/>
      <c r="M43" s="300"/>
      <c r="N43" s="14"/>
      <c r="P43" s="1">
        <v>1</v>
      </c>
      <c r="ES43" s="60"/>
      <c r="ET43" s="60"/>
      <c r="EU43" s="60"/>
      <c r="EV43" s="60"/>
      <c r="EW43" s="60"/>
      <c r="EX43" s="64"/>
      <c r="EY43" s="64"/>
      <c r="EZ43" s="64"/>
      <c r="FA43" s="64"/>
      <c r="FB43" s="64"/>
    </row>
    <row r="44" spans="2:158" ht="15.95" customHeight="1" thickBot="1" x14ac:dyDescent="0.25">
      <c r="B44" s="10"/>
      <c r="C44" s="210" t="s">
        <v>186</v>
      </c>
      <c r="D44" s="211" t="s">
        <v>187</v>
      </c>
      <c r="E44" s="211" t="s">
        <v>188</v>
      </c>
      <c r="F44" s="211" t="s">
        <v>189</v>
      </c>
      <c r="G44" s="211" t="s">
        <v>187</v>
      </c>
      <c r="H44" s="211" t="s">
        <v>188</v>
      </c>
      <c r="I44" s="211" t="s">
        <v>189</v>
      </c>
      <c r="J44" s="211" t="s">
        <v>187</v>
      </c>
      <c r="K44" s="211" t="s">
        <v>188</v>
      </c>
      <c r="L44" s="211" t="s">
        <v>189</v>
      </c>
      <c r="M44" s="212" t="s">
        <v>190</v>
      </c>
      <c r="N44" s="14"/>
      <c r="P44" s="1">
        <v>1</v>
      </c>
      <c r="ES44" s="60"/>
      <c r="ET44" s="60"/>
      <c r="EU44" s="60"/>
      <c r="EV44" s="60" t="s">
        <v>191</v>
      </c>
      <c r="EW44" s="60"/>
      <c r="EX44" s="64"/>
      <c r="EY44" s="64"/>
      <c r="EZ44" s="64"/>
      <c r="FA44" s="64"/>
      <c r="FB44" s="64"/>
    </row>
    <row r="45" spans="2:158" ht="20.25" thickBot="1" x14ac:dyDescent="0.35">
      <c r="B45" s="10"/>
      <c r="C45" s="213" t="s">
        <v>39</v>
      </c>
      <c r="D45" s="214">
        <v>6</v>
      </c>
      <c r="E45" s="214">
        <v>40</v>
      </c>
      <c r="F45" s="214" t="s">
        <v>192</v>
      </c>
      <c r="G45" s="214"/>
      <c r="H45" s="214"/>
      <c r="I45" s="214"/>
      <c r="J45" s="214"/>
      <c r="K45" s="214"/>
      <c r="L45" s="214"/>
      <c r="M45" s="215" t="s">
        <v>193</v>
      </c>
      <c r="N45" s="14" t="s">
        <v>194</v>
      </c>
      <c r="O45" s="1">
        <v>78.59</v>
      </c>
      <c r="P45" s="1">
        <f t="shared" ref="P45:P55" si="18">IF(D45&gt;0,1,)</f>
        <v>1</v>
      </c>
      <c r="AT45" s="177"/>
      <c r="AU45" s="177"/>
      <c r="AV45" s="177"/>
      <c r="AW45" s="177"/>
      <c r="AX45" s="177"/>
      <c r="AY45" s="99"/>
      <c r="AZ45" s="99"/>
      <c r="BA45" s="99"/>
      <c r="BB45" s="99"/>
      <c r="ES45" s="60">
        <f>(22.1)</f>
        <v>22.1</v>
      </c>
      <c r="ET45" s="60">
        <f>(5*19.79)</f>
        <v>98.949999999999989</v>
      </c>
      <c r="EU45" s="60"/>
      <c r="EV45" s="216">
        <f t="shared" ref="EV45:EV51" si="19">SUBTOTAL(9,ES45:EU45)</f>
        <v>121.04999999999998</v>
      </c>
      <c r="EW45" s="60"/>
      <c r="EX45" s="64"/>
      <c r="EY45" s="64"/>
      <c r="EZ45" s="64"/>
      <c r="FA45" s="64"/>
      <c r="FB45" s="64"/>
    </row>
    <row r="46" spans="2:158" ht="20.25" thickBot="1" x14ac:dyDescent="0.35">
      <c r="B46" s="10"/>
      <c r="C46" s="213" t="s">
        <v>46</v>
      </c>
      <c r="D46" s="217">
        <v>6</v>
      </c>
      <c r="E46" s="217">
        <v>39</v>
      </c>
      <c r="F46" s="217" t="s">
        <v>192</v>
      </c>
      <c r="G46" s="217"/>
      <c r="H46" s="217"/>
      <c r="I46" s="217"/>
      <c r="J46" s="217"/>
      <c r="K46" s="217"/>
      <c r="L46" s="217"/>
      <c r="M46" s="218" t="s">
        <v>195</v>
      </c>
      <c r="N46" s="14"/>
      <c r="O46" s="1">
        <v>72.5</v>
      </c>
      <c r="P46" s="1">
        <f t="shared" si="18"/>
        <v>1</v>
      </c>
      <c r="ES46" s="60">
        <v>21.73</v>
      </c>
      <c r="ET46" s="60">
        <f>(19.45*5)</f>
        <v>97.25</v>
      </c>
      <c r="EU46" s="60"/>
      <c r="EV46" s="216">
        <f>SUBTOTAL(9,ES46:EU46)</f>
        <v>118.98</v>
      </c>
      <c r="EW46" s="60"/>
      <c r="EX46" s="64"/>
      <c r="EY46" s="64"/>
      <c r="EZ46" s="64"/>
      <c r="FA46" s="64"/>
      <c r="FB46" s="64"/>
    </row>
    <row r="47" spans="2:158" ht="20.25" thickBot="1" x14ac:dyDescent="0.35">
      <c r="B47" s="10"/>
      <c r="C47" s="213" t="s">
        <v>51</v>
      </c>
      <c r="D47" s="217">
        <v>6</v>
      </c>
      <c r="E47" s="217">
        <v>38</v>
      </c>
      <c r="F47" s="217" t="s">
        <v>192</v>
      </c>
      <c r="G47" s="217"/>
      <c r="H47" s="217"/>
      <c r="I47" s="217"/>
      <c r="J47" s="217"/>
      <c r="K47" s="217"/>
      <c r="L47" s="217"/>
      <c r="M47" s="218" t="s">
        <v>196</v>
      </c>
      <c r="N47" s="14"/>
      <c r="O47" s="1">
        <v>66.22</v>
      </c>
      <c r="P47" s="1">
        <f t="shared" si="18"/>
        <v>1</v>
      </c>
      <c r="ES47" s="60">
        <v>21.36</v>
      </c>
      <c r="ET47" s="60">
        <f>(5*19.13)</f>
        <v>95.649999999999991</v>
      </c>
      <c r="EU47" s="60"/>
      <c r="EV47" s="216">
        <f t="shared" si="19"/>
        <v>117.00999999999999</v>
      </c>
      <c r="EW47" s="60"/>
      <c r="EX47" s="64"/>
      <c r="EY47" s="64"/>
      <c r="EZ47" s="64"/>
      <c r="FA47" s="64"/>
      <c r="FB47" s="64"/>
    </row>
    <row r="48" spans="2:158" ht="20.25" thickBot="1" x14ac:dyDescent="0.35">
      <c r="B48" s="10"/>
      <c r="C48" s="213" t="s">
        <v>55</v>
      </c>
      <c r="D48" s="217">
        <v>6</v>
      </c>
      <c r="E48" s="217">
        <v>37</v>
      </c>
      <c r="F48" s="217" t="s">
        <v>192</v>
      </c>
      <c r="G48" s="217"/>
      <c r="H48" s="217"/>
      <c r="I48" s="217"/>
      <c r="J48" s="217"/>
      <c r="K48" s="217"/>
      <c r="L48" s="217"/>
      <c r="M48" s="218" t="s">
        <v>197</v>
      </c>
      <c r="N48" s="14"/>
      <c r="O48" s="1">
        <v>47.86</v>
      </c>
      <c r="P48" s="1">
        <f t="shared" si="18"/>
        <v>1</v>
      </c>
      <c r="ES48" s="60">
        <v>20.98</v>
      </c>
      <c r="ET48" s="60">
        <f>(5*18.81)</f>
        <v>94.05</v>
      </c>
      <c r="EU48" s="60"/>
      <c r="EV48" s="216">
        <f t="shared" si="19"/>
        <v>115.03</v>
      </c>
      <c r="EW48" s="60"/>
      <c r="EX48" s="64"/>
      <c r="EY48" s="64"/>
      <c r="EZ48" s="64"/>
      <c r="FA48" s="64"/>
      <c r="FB48" s="64"/>
    </row>
    <row r="49" spans="2:158" ht="20.25" thickBot="1" x14ac:dyDescent="0.35">
      <c r="B49" s="10"/>
      <c r="C49" s="213" t="s">
        <v>68</v>
      </c>
      <c r="D49" s="219">
        <v>6</v>
      </c>
      <c r="E49" s="219">
        <v>36</v>
      </c>
      <c r="F49" s="219" t="s">
        <v>192</v>
      </c>
      <c r="G49" s="219"/>
      <c r="H49" s="217"/>
      <c r="I49" s="217"/>
      <c r="J49" s="217"/>
      <c r="K49" s="217"/>
      <c r="L49" s="217"/>
      <c r="M49" s="218" t="s">
        <v>198</v>
      </c>
      <c r="N49" s="14">
        <v>16.36</v>
      </c>
      <c r="O49" s="1">
        <v>44.21</v>
      </c>
      <c r="P49" s="1">
        <f t="shared" si="18"/>
        <v>1</v>
      </c>
      <c r="ES49" s="60">
        <v>20.61</v>
      </c>
      <c r="ET49" s="60">
        <f>(5*18.49)</f>
        <v>92.449999999999989</v>
      </c>
      <c r="EU49" s="60"/>
      <c r="EV49" s="216">
        <f t="shared" si="19"/>
        <v>113.05999999999999</v>
      </c>
      <c r="EW49" s="60" t="s">
        <v>3</v>
      </c>
      <c r="EX49" s="64"/>
      <c r="EY49" s="64"/>
      <c r="EZ49" s="64"/>
      <c r="FA49" s="64"/>
      <c r="FB49" s="64"/>
    </row>
    <row r="50" spans="2:158" ht="20.25" thickBot="1" x14ac:dyDescent="0.35">
      <c r="B50" s="10"/>
      <c r="C50" s="213" t="s">
        <v>73</v>
      </c>
      <c r="D50" s="217">
        <v>6</v>
      </c>
      <c r="E50" s="217">
        <v>35</v>
      </c>
      <c r="F50" s="217" t="s">
        <v>192</v>
      </c>
      <c r="G50" s="217">
        <v>1</v>
      </c>
      <c r="H50" s="217">
        <v>34</v>
      </c>
      <c r="I50" s="217" t="s">
        <v>192</v>
      </c>
      <c r="J50" s="217"/>
      <c r="K50" s="217"/>
      <c r="L50" s="217"/>
      <c r="M50" s="218" t="s">
        <v>199</v>
      </c>
      <c r="N50" s="14"/>
      <c r="O50" s="1">
        <v>41.05</v>
      </c>
      <c r="P50" s="1">
        <f t="shared" si="18"/>
        <v>1</v>
      </c>
      <c r="ES50" s="60">
        <v>20.239999999999998</v>
      </c>
      <c r="ET50" s="60">
        <f>5*18.17</f>
        <v>90.850000000000009</v>
      </c>
      <c r="EU50" s="60">
        <v>17.88</v>
      </c>
      <c r="EV50" s="216">
        <f t="shared" si="19"/>
        <v>128.97</v>
      </c>
      <c r="EW50" s="60"/>
      <c r="EX50" s="64"/>
      <c r="EY50" s="64"/>
      <c r="EZ50" s="64"/>
      <c r="FA50" s="64"/>
      <c r="FB50" s="64"/>
    </row>
    <row r="51" spans="2:158" ht="20.25" thickBot="1" x14ac:dyDescent="0.35">
      <c r="B51" s="10"/>
      <c r="C51" s="213" t="s">
        <v>84</v>
      </c>
      <c r="D51" s="217">
        <v>7</v>
      </c>
      <c r="E51" s="217">
        <v>34</v>
      </c>
      <c r="F51" s="217" t="s">
        <v>192</v>
      </c>
      <c r="G51" s="217"/>
      <c r="H51" s="217"/>
      <c r="I51" s="217"/>
      <c r="J51" s="217"/>
      <c r="K51" s="217"/>
      <c r="L51" s="217"/>
      <c r="M51" s="218" t="s">
        <v>200</v>
      </c>
      <c r="N51" s="14"/>
      <c r="O51" s="1" t="s">
        <v>75</v>
      </c>
      <c r="P51" s="1">
        <f t="shared" si="18"/>
        <v>1</v>
      </c>
      <c r="ES51" s="60">
        <v>19.86</v>
      </c>
      <c r="ET51" s="60">
        <f>6*17.88</f>
        <v>107.28</v>
      </c>
      <c r="EU51" s="60"/>
      <c r="EV51" s="216">
        <f t="shared" si="19"/>
        <v>127.14</v>
      </c>
      <c r="EW51" s="60"/>
      <c r="EX51" s="64"/>
      <c r="EY51" s="64"/>
      <c r="EZ51" s="64"/>
      <c r="FA51" s="64"/>
      <c r="FB51" s="64"/>
    </row>
    <row r="52" spans="2:158" ht="20.25" thickBot="1" x14ac:dyDescent="0.35">
      <c r="B52" s="10"/>
      <c r="C52" s="213" t="s">
        <v>92</v>
      </c>
      <c r="D52" s="217"/>
      <c r="E52" s="217"/>
      <c r="F52" s="217"/>
      <c r="G52" s="217"/>
      <c r="H52" s="217"/>
      <c r="I52" s="217"/>
      <c r="J52" s="217"/>
      <c r="K52" s="217"/>
      <c r="L52" s="217"/>
      <c r="M52" s="218"/>
      <c r="N52" s="14"/>
      <c r="O52" s="1" t="s">
        <v>75</v>
      </c>
      <c r="P52" s="1">
        <f t="shared" si="18"/>
        <v>0</v>
      </c>
    </row>
    <row r="53" spans="2:158" ht="20.25" thickBot="1" x14ac:dyDescent="0.35">
      <c r="B53" s="10"/>
      <c r="C53" s="213" t="s">
        <v>98</v>
      </c>
      <c r="D53" s="219"/>
      <c r="E53" s="219"/>
      <c r="F53" s="219"/>
      <c r="G53" s="219"/>
      <c r="H53" s="217"/>
      <c r="I53" s="217"/>
      <c r="J53" s="217"/>
      <c r="K53" s="217"/>
      <c r="L53" s="217"/>
      <c r="M53" s="218"/>
      <c r="N53" s="14"/>
      <c r="O53" s="1" t="s">
        <v>75</v>
      </c>
      <c r="P53" s="1">
        <f t="shared" si="18"/>
        <v>0</v>
      </c>
    </row>
    <row r="54" spans="2:158" ht="20.25" thickBot="1" x14ac:dyDescent="0.35">
      <c r="B54" s="10"/>
      <c r="C54" s="213" t="s">
        <v>106</v>
      </c>
      <c r="D54" s="219"/>
      <c r="E54" s="219"/>
      <c r="F54" s="219"/>
      <c r="G54" s="219"/>
      <c r="H54" s="217"/>
      <c r="I54" s="217"/>
      <c r="J54" s="217"/>
      <c r="K54" s="217"/>
      <c r="L54" s="217"/>
      <c r="M54" s="218"/>
      <c r="N54" s="14"/>
      <c r="O54" s="1" t="s">
        <v>75</v>
      </c>
      <c r="P54" s="1">
        <f t="shared" si="18"/>
        <v>0</v>
      </c>
    </row>
    <row r="55" spans="2:158" x14ac:dyDescent="0.2">
      <c r="B55" s="10"/>
      <c r="C55" s="301"/>
      <c r="D55" s="302"/>
      <c r="E55" s="302"/>
      <c r="F55" s="302"/>
      <c r="G55" s="302"/>
      <c r="H55" s="302"/>
      <c r="I55" s="302"/>
      <c r="J55" s="302"/>
      <c r="K55" s="302"/>
      <c r="L55" s="302"/>
      <c r="M55" s="303"/>
      <c r="N55" s="14"/>
      <c r="O55" s="1" t="s">
        <v>75</v>
      </c>
      <c r="P55" s="1">
        <f t="shared" si="18"/>
        <v>0</v>
      </c>
    </row>
    <row r="56" spans="2:158" ht="13.5" thickBot="1" x14ac:dyDescent="0.25">
      <c r="B56" s="10"/>
      <c r="C56" s="304"/>
      <c r="D56" s="305"/>
      <c r="E56" s="305"/>
      <c r="F56" s="305"/>
      <c r="G56" s="305"/>
      <c r="H56" s="305"/>
      <c r="I56" s="305"/>
      <c r="J56" s="305"/>
      <c r="K56" s="305"/>
      <c r="L56" s="305"/>
      <c r="M56" s="306"/>
      <c r="N56" s="14"/>
      <c r="P56" s="1">
        <v>1</v>
      </c>
    </row>
    <row r="57" spans="2:158" ht="23.25" x14ac:dyDescent="0.35">
      <c r="B57" s="10"/>
      <c r="C57" s="307" t="s">
        <v>201</v>
      </c>
      <c r="D57" s="308"/>
      <c r="E57" s="308"/>
      <c r="F57" s="308"/>
      <c r="G57" s="308"/>
      <c r="H57" s="308"/>
      <c r="I57" s="308"/>
      <c r="J57" s="308"/>
      <c r="K57" s="308"/>
      <c r="L57" s="308"/>
      <c r="M57" s="309"/>
      <c r="N57" s="14"/>
      <c r="P57" s="1">
        <v>1</v>
      </c>
      <c r="ES57" s="60"/>
      <c r="ET57" s="60"/>
      <c r="EU57" s="60"/>
      <c r="EV57" s="60"/>
      <c r="EW57" s="60"/>
      <c r="EX57" s="64"/>
      <c r="EY57" s="64"/>
      <c r="EZ57" s="64"/>
      <c r="FA57" s="64"/>
      <c r="FB57" s="64"/>
    </row>
    <row r="58" spans="2:158" x14ac:dyDescent="0.2">
      <c r="B58" s="10"/>
      <c r="C58" s="278" t="s">
        <v>202</v>
      </c>
      <c r="D58" s="279"/>
      <c r="E58" s="279"/>
      <c r="F58" s="279"/>
      <c r="G58" s="279"/>
      <c r="H58" s="279"/>
      <c r="I58" s="279"/>
      <c r="J58" s="279"/>
      <c r="K58" s="279"/>
      <c r="L58" s="279"/>
      <c r="M58" s="280"/>
      <c r="N58" s="14"/>
      <c r="P58" s="1">
        <f t="shared" ref="P58:P67" si="20">IF($C$58&lt;&gt;"",1,0)</f>
        <v>1</v>
      </c>
      <c r="ES58" s="60"/>
      <c r="ET58" s="60"/>
      <c r="EU58" s="60"/>
      <c r="EV58" s="60"/>
      <c r="EW58" s="60"/>
      <c r="EX58" s="110"/>
    </row>
    <row r="59" spans="2:158" ht="12" customHeight="1" x14ac:dyDescent="0.2">
      <c r="B59" s="10"/>
      <c r="C59" s="278"/>
      <c r="D59" s="279"/>
      <c r="E59" s="279"/>
      <c r="F59" s="279"/>
      <c r="G59" s="279"/>
      <c r="H59" s="279"/>
      <c r="I59" s="279"/>
      <c r="J59" s="279"/>
      <c r="K59" s="279"/>
      <c r="L59" s="279"/>
      <c r="M59" s="280"/>
      <c r="N59" s="14"/>
      <c r="P59" s="1">
        <f t="shared" si="20"/>
        <v>1</v>
      </c>
      <c r="ES59" s="60"/>
      <c r="ET59" s="60"/>
      <c r="EU59" s="60"/>
      <c r="EV59" s="60"/>
      <c r="EW59" s="60"/>
      <c r="EX59" s="110"/>
    </row>
    <row r="60" spans="2:158" ht="12" customHeight="1" x14ac:dyDescent="0.2">
      <c r="B60" s="10"/>
      <c r="C60" s="278"/>
      <c r="D60" s="279"/>
      <c r="E60" s="279"/>
      <c r="F60" s="279"/>
      <c r="G60" s="279"/>
      <c r="H60" s="279"/>
      <c r="I60" s="279"/>
      <c r="J60" s="279"/>
      <c r="K60" s="279"/>
      <c r="L60" s="279"/>
      <c r="M60" s="280"/>
      <c r="N60" s="14"/>
      <c r="P60" s="1">
        <f t="shared" si="20"/>
        <v>1</v>
      </c>
      <c r="ES60" s="60"/>
      <c r="ET60" s="60"/>
      <c r="EU60" s="60"/>
      <c r="EV60" s="60"/>
      <c r="EW60" s="60"/>
    </row>
    <row r="61" spans="2:158" ht="12" customHeight="1" x14ac:dyDescent="0.2">
      <c r="B61" s="10"/>
      <c r="C61" s="278"/>
      <c r="D61" s="279"/>
      <c r="E61" s="279"/>
      <c r="F61" s="279"/>
      <c r="G61" s="279"/>
      <c r="H61" s="279"/>
      <c r="I61" s="279"/>
      <c r="J61" s="279"/>
      <c r="K61" s="279"/>
      <c r="L61" s="279"/>
      <c r="M61" s="280"/>
      <c r="N61" s="14"/>
      <c r="P61" s="1">
        <f t="shared" si="20"/>
        <v>1</v>
      </c>
      <c r="ES61" s="60"/>
      <c r="ET61" s="60"/>
      <c r="EU61" s="60"/>
      <c r="EV61" s="60"/>
      <c r="EW61" s="60"/>
    </row>
    <row r="62" spans="2:158" ht="12" customHeight="1" x14ac:dyDescent="0.2">
      <c r="B62" s="10"/>
      <c r="C62" s="278"/>
      <c r="D62" s="279"/>
      <c r="E62" s="279"/>
      <c r="F62" s="279"/>
      <c r="G62" s="279"/>
      <c r="H62" s="279"/>
      <c r="I62" s="279"/>
      <c r="J62" s="279"/>
      <c r="K62" s="279"/>
      <c r="L62" s="279"/>
      <c r="M62" s="280"/>
      <c r="N62" s="14"/>
      <c r="P62" s="1">
        <f t="shared" si="20"/>
        <v>1</v>
      </c>
      <c r="ES62" s="60"/>
      <c r="ET62" s="60"/>
      <c r="EU62" s="60"/>
      <c r="EV62" s="60"/>
      <c r="EW62" s="60"/>
    </row>
    <row r="63" spans="2:158" ht="12" customHeight="1" x14ac:dyDescent="0.2">
      <c r="B63" s="10"/>
      <c r="C63" s="281"/>
      <c r="D63" s="282"/>
      <c r="E63" s="282"/>
      <c r="F63" s="282"/>
      <c r="G63" s="282"/>
      <c r="H63" s="282"/>
      <c r="I63" s="282"/>
      <c r="J63" s="282"/>
      <c r="K63" s="282"/>
      <c r="L63" s="282"/>
      <c r="M63" s="283"/>
      <c r="N63" s="14"/>
      <c r="P63" s="1">
        <f t="shared" si="20"/>
        <v>1</v>
      </c>
    </row>
    <row r="64" spans="2:158" ht="12" customHeight="1" x14ac:dyDescent="0.2">
      <c r="B64" s="10"/>
      <c r="C64" s="281"/>
      <c r="D64" s="282"/>
      <c r="E64" s="282"/>
      <c r="F64" s="282"/>
      <c r="G64" s="282"/>
      <c r="H64" s="282"/>
      <c r="I64" s="282"/>
      <c r="J64" s="282"/>
      <c r="K64" s="282"/>
      <c r="L64" s="282"/>
      <c r="M64" s="283"/>
      <c r="N64" s="14"/>
      <c r="P64" s="1">
        <f t="shared" si="20"/>
        <v>1</v>
      </c>
    </row>
    <row r="65" spans="2:60" ht="12" customHeight="1" x14ac:dyDescent="0.2">
      <c r="B65" s="10"/>
      <c r="C65" s="281"/>
      <c r="D65" s="282"/>
      <c r="E65" s="282"/>
      <c r="F65" s="282"/>
      <c r="G65" s="282"/>
      <c r="H65" s="282"/>
      <c r="I65" s="282"/>
      <c r="J65" s="282"/>
      <c r="K65" s="282"/>
      <c r="L65" s="282"/>
      <c r="M65" s="283"/>
      <c r="N65" s="14"/>
      <c r="P65" s="1">
        <f t="shared" si="20"/>
        <v>1</v>
      </c>
    </row>
    <row r="66" spans="2:60" ht="12" customHeight="1" x14ac:dyDescent="0.2">
      <c r="B66" s="10"/>
      <c r="C66" s="10"/>
      <c r="D66" s="220"/>
      <c r="E66" s="220"/>
      <c r="F66" s="220"/>
      <c r="G66" s="220"/>
      <c r="H66" s="220"/>
      <c r="I66" s="220"/>
      <c r="J66" s="220"/>
      <c r="K66" s="220"/>
      <c r="L66" s="220"/>
      <c r="M66" s="14"/>
      <c r="N66" s="14"/>
      <c r="P66" s="1">
        <f t="shared" si="20"/>
        <v>1</v>
      </c>
    </row>
    <row r="67" spans="2:60" ht="12" customHeight="1" x14ac:dyDescent="0.2">
      <c r="B67" s="10"/>
      <c r="C67" s="10"/>
      <c r="D67" s="220"/>
      <c r="E67" s="220"/>
      <c r="F67" s="220"/>
      <c r="G67" s="220"/>
      <c r="H67" s="220"/>
      <c r="I67" s="220"/>
      <c r="J67" s="220"/>
      <c r="K67" s="220"/>
      <c r="L67" s="220"/>
      <c r="M67" s="14"/>
      <c r="N67" s="14"/>
      <c r="P67" s="1">
        <f t="shared" si="20"/>
        <v>1</v>
      </c>
    </row>
    <row r="68" spans="2:60" ht="15" customHeight="1" x14ac:dyDescent="0.2">
      <c r="B68" s="10"/>
      <c r="C68" s="284"/>
      <c r="D68" s="285"/>
      <c r="E68" s="285"/>
      <c r="F68" s="285"/>
      <c r="G68" s="285"/>
      <c r="H68" s="285"/>
      <c r="I68" s="285"/>
      <c r="J68" s="285"/>
      <c r="K68" s="285"/>
      <c r="L68" s="285"/>
      <c r="M68" s="286"/>
      <c r="N68" s="14"/>
      <c r="P68" s="1">
        <v>1</v>
      </c>
    </row>
    <row r="69" spans="2:60" ht="15.75" customHeight="1" x14ac:dyDescent="0.2">
      <c r="B69" s="10"/>
      <c r="C69" s="287"/>
      <c r="D69" s="288"/>
      <c r="E69" s="288"/>
      <c r="F69" s="288"/>
      <c r="G69" s="288"/>
      <c r="H69" s="288"/>
      <c r="I69" s="288"/>
      <c r="J69" s="288"/>
      <c r="K69" s="288"/>
      <c r="L69" s="288"/>
      <c r="M69" s="289"/>
      <c r="N69" s="14"/>
      <c r="P69" s="1">
        <v>1</v>
      </c>
    </row>
    <row r="70" spans="2:60" ht="12.75" customHeight="1" x14ac:dyDescent="0.2">
      <c r="B70" s="10"/>
      <c r="C70" s="290" t="s">
        <v>203</v>
      </c>
      <c r="D70" s="291"/>
      <c r="E70" s="291"/>
      <c r="F70" s="291"/>
      <c r="G70" s="291"/>
      <c r="H70" s="291"/>
      <c r="I70" s="291"/>
      <c r="J70" s="291"/>
      <c r="K70" s="291"/>
      <c r="L70" s="291"/>
      <c r="M70" s="292"/>
      <c r="N70" s="14"/>
      <c r="P70" s="1">
        <v>1</v>
      </c>
    </row>
    <row r="71" spans="2:60" ht="13.5" thickBot="1" x14ac:dyDescent="0.25">
      <c r="B71" s="10"/>
      <c r="C71" s="293" t="s">
        <v>204</v>
      </c>
      <c r="D71" s="294"/>
      <c r="E71" s="294"/>
      <c r="F71" s="294"/>
      <c r="G71" s="294"/>
      <c r="H71" s="294"/>
      <c r="I71" s="294"/>
      <c r="J71" s="294"/>
      <c r="K71" s="294"/>
      <c r="L71" s="294"/>
      <c r="M71" s="295"/>
      <c r="N71" s="14"/>
      <c r="P71" s="1">
        <v>1</v>
      </c>
    </row>
    <row r="72" spans="2:60" ht="17.25" customHeight="1" thickBot="1" x14ac:dyDescent="0.3">
      <c r="B72" s="221"/>
      <c r="C72" s="70"/>
      <c r="D72" s="70" t="s">
        <v>205</v>
      </c>
      <c r="E72" s="70"/>
      <c r="F72" s="70" t="s">
        <v>206</v>
      </c>
      <c r="G72" s="70"/>
      <c r="H72" s="70"/>
      <c r="I72" s="70" t="s">
        <v>207</v>
      </c>
      <c r="J72" s="70" t="s">
        <v>208</v>
      </c>
      <c r="K72" s="70"/>
      <c r="L72" s="70"/>
      <c r="M72" s="70"/>
      <c r="N72" s="222"/>
      <c r="P72" s="1">
        <v>1</v>
      </c>
      <c r="BD72" s="223" t="s">
        <v>209</v>
      </c>
      <c r="BE72" s="224" t="s">
        <v>210</v>
      </c>
      <c r="BF72" s="224" t="s">
        <v>211</v>
      </c>
      <c r="BG72" s="225" t="s">
        <v>31</v>
      </c>
      <c r="BH72" s="226" t="s">
        <v>212</v>
      </c>
    </row>
    <row r="73" spans="2:60" x14ac:dyDescent="0.2">
      <c r="BD73" s="227" t="s">
        <v>213</v>
      </c>
      <c r="BE73" s="228">
        <v>40</v>
      </c>
      <c r="BF73" s="228">
        <v>0.06</v>
      </c>
      <c r="BG73" s="82">
        <v>0.4</v>
      </c>
      <c r="BH73" s="229">
        <v>6</v>
      </c>
    </row>
    <row r="74" spans="2:60" x14ac:dyDescent="0.2">
      <c r="B74" s="230" t="s">
        <v>214</v>
      </c>
      <c r="C74" s="231" t="s">
        <v>215</v>
      </c>
      <c r="D74" s="232"/>
      <c r="E74" s="232"/>
      <c r="F74" s="232"/>
      <c r="G74" s="232"/>
      <c r="H74" s="232"/>
      <c r="I74" s="232"/>
      <c r="J74" s="232"/>
      <c r="K74" s="232"/>
      <c r="L74" s="232"/>
      <c r="M74" s="232"/>
      <c r="N74" s="233"/>
      <c r="BD74" s="227" t="s">
        <v>216</v>
      </c>
      <c r="BE74" s="228">
        <v>40</v>
      </c>
      <c r="BF74" s="228">
        <v>0.06</v>
      </c>
      <c r="BG74" s="82">
        <v>0.5</v>
      </c>
      <c r="BH74" s="229">
        <v>6</v>
      </c>
    </row>
    <row r="75" spans="2:60" x14ac:dyDescent="0.2">
      <c r="C75" s="234" t="s">
        <v>217</v>
      </c>
      <c r="D75" s="235"/>
      <c r="E75" s="235"/>
      <c r="F75" s="235"/>
      <c r="G75" s="235"/>
      <c r="H75" s="235"/>
      <c r="I75" s="235"/>
      <c r="J75" s="235"/>
      <c r="K75" s="235"/>
      <c r="L75" s="235"/>
      <c r="M75" s="235"/>
      <c r="N75" s="236"/>
      <c r="BD75" s="227" t="s">
        <v>218</v>
      </c>
      <c r="BE75" s="228">
        <v>40</v>
      </c>
      <c r="BF75" s="228">
        <v>0.06</v>
      </c>
      <c r="BG75" s="82">
        <v>0.6</v>
      </c>
      <c r="BH75" s="229">
        <v>6</v>
      </c>
    </row>
    <row r="76" spans="2:60" x14ac:dyDescent="0.2">
      <c r="BD76" s="227" t="s">
        <v>219</v>
      </c>
      <c r="BE76" s="228">
        <v>20</v>
      </c>
      <c r="BF76" s="228">
        <v>0.17</v>
      </c>
      <c r="BG76" s="82">
        <v>5.6</v>
      </c>
      <c r="BH76" s="229">
        <v>3</v>
      </c>
    </row>
    <row r="77" spans="2:60" ht="27" customHeight="1" x14ac:dyDescent="0.2">
      <c r="C77" s="230" t="s">
        <v>220</v>
      </c>
      <c r="D77" s="237">
        <f>H10</f>
        <v>0</v>
      </c>
      <c r="F77" s="230">
        <f>F6</f>
        <v>0</v>
      </c>
      <c r="BD77" s="227" t="s">
        <v>221</v>
      </c>
      <c r="BE77" s="228">
        <v>40</v>
      </c>
      <c r="BF77" s="228">
        <v>0.06</v>
      </c>
      <c r="BG77" s="82">
        <v>0.7</v>
      </c>
      <c r="BH77" s="229">
        <v>6</v>
      </c>
    </row>
    <row r="78" spans="2:60" ht="16.5" customHeight="1" x14ac:dyDescent="0.2">
      <c r="BD78" s="227" t="s">
        <v>222</v>
      </c>
      <c r="BE78" s="228">
        <v>40</v>
      </c>
      <c r="BF78" s="228">
        <v>0.06</v>
      </c>
      <c r="BG78" s="82">
        <v>0.8</v>
      </c>
      <c r="BH78" s="229">
        <v>6</v>
      </c>
    </row>
    <row r="79" spans="2:60" ht="15" x14ac:dyDescent="0.25">
      <c r="C79" s="238" t="s">
        <v>223</v>
      </c>
      <c r="D79" s="239" t="s">
        <v>224</v>
      </c>
      <c r="E79" s="238" t="s">
        <v>225</v>
      </c>
      <c r="F79" s="240" t="s">
        <v>226</v>
      </c>
      <c r="G79" s="241" t="s">
        <v>227</v>
      </c>
      <c r="H79" s="242"/>
      <c r="I79" s="243" t="s">
        <v>225</v>
      </c>
      <c r="J79" s="241" t="s">
        <v>227</v>
      </c>
      <c r="K79" s="244"/>
      <c r="L79" s="243" t="s">
        <v>228</v>
      </c>
      <c r="M79" s="241"/>
      <c r="S79" s="245"/>
      <c r="T79" s="245"/>
      <c r="BD79" s="227" t="s">
        <v>229</v>
      </c>
      <c r="BE79" s="228">
        <v>40</v>
      </c>
      <c r="BF79" s="228">
        <v>7.0000000000000007E-2</v>
      </c>
      <c r="BG79" s="82">
        <v>0.85</v>
      </c>
      <c r="BH79" s="229">
        <v>6</v>
      </c>
    </row>
    <row r="80" spans="2:60" ht="15" x14ac:dyDescent="0.25">
      <c r="C80" s="246" t="str">
        <f t="shared" ref="C80:C90" si="21">C11</f>
        <v>334</v>
      </c>
      <c r="D80" s="247">
        <f t="shared" ref="D80:D88" si="22">VALUE(D11)</f>
        <v>0.5</v>
      </c>
      <c r="E80" s="248">
        <f t="shared" ref="E80:E90" si="23">F11</f>
        <v>11.81</v>
      </c>
      <c r="F80" s="249">
        <f t="shared" ref="F80:F90" si="24">IF(E80=0,0,1/E80)</f>
        <v>8.4674005080440304E-2</v>
      </c>
      <c r="G80" s="250">
        <f>IF(E80=0,0,+H80/E80)</f>
        <v>0.67739204064352243</v>
      </c>
      <c r="H80" s="251">
        <f t="shared" ref="H80:H90" si="25">VALUE(E11)</f>
        <v>8</v>
      </c>
      <c r="I80" s="248"/>
      <c r="J80" s="252"/>
      <c r="K80" s="253"/>
      <c r="L80" s="243"/>
      <c r="M80" s="254">
        <f t="shared" ref="M80:M90" si="26">IF(L80=0,0,L80/E80)</f>
        <v>0</v>
      </c>
      <c r="S80" s="245"/>
      <c r="T80" s="245"/>
      <c r="BD80" s="227" t="s">
        <v>230</v>
      </c>
      <c r="BE80" s="228">
        <v>40</v>
      </c>
      <c r="BF80" s="228">
        <v>7.0000000000000007E-2</v>
      </c>
      <c r="BG80" s="82">
        <v>0.9</v>
      </c>
      <c r="BH80" s="229">
        <v>6</v>
      </c>
    </row>
    <row r="81" spans="3:60" ht="15" x14ac:dyDescent="0.25">
      <c r="C81" s="246" t="str">
        <f t="shared" si="21"/>
        <v>35</v>
      </c>
      <c r="D81" s="247">
        <f t="shared" si="22"/>
        <v>0.5</v>
      </c>
      <c r="E81" s="248">
        <f t="shared" si="23"/>
        <v>11.47</v>
      </c>
      <c r="F81" s="249">
        <f t="shared" si="24"/>
        <v>8.7183958151700089E-2</v>
      </c>
      <c r="G81" s="250">
        <f t="shared" ref="G81:G90" si="27">IF(E81=0,0,+H81/E81)</f>
        <v>1.4821272885789014</v>
      </c>
      <c r="H81" s="251">
        <f t="shared" si="25"/>
        <v>17</v>
      </c>
      <c r="I81" s="248"/>
      <c r="J81" s="252"/>
      <c r="K81" s="253"/>
      <c r="L81" s="243"/>
      <c r="M81" s="254">
        <f t="shared" si="26"/>
        <v>0</v>
      </c>
      <c r="S81" s="245"/>
      <c r="T81" s="245"/>
      <c r="BD81" s="227" t="s">
        <v>231</v>
      </c>
      <c r="BE81" s="228">
        <v>35</v>
      </c>
      <c r="BF81" s="228">
        <v>7.0000000000000007E-2</v>
      </c>
      <c r="BG81" s="82">
        <v>1</v>
      </c>
      <c r="BH81" s="229">
        <v>6</v>
      </c>
    </row>
    <row r="82" spans="3:60" ht="15" x14ac:dyDescent="0.25">
      <c r="C82" s="246" t="str">
        <f t="shared" si="21"/>
        <v>36</v>
      </c>
      <c r="D82" s="247">
        <f t="shared" si="22"/>
        <v>0.5</v>
      </c>
      <c r="E82" s="248">
        <f t="shared" si="23"/>
        <v>9.6199999999999992</v>
      </c>
      <c r="F82" s="249">
        <f t="shared" si="24"/>
        <v>0.10395010395010396</v>
      </c>
      <c r="G82" s="250">
        <f t="shared" si="27"/>
        <v>2.4948024948024949</v>
      </c>
      <c r="H82" s="251">
        <f t="shared" si="25"/>
        <v>24</v>
      </c>
      <c r="I82" s="248"/>
      <c r="J82" s="252"/>
      <c r="K82" s="253"/>
      <c r="L82" s="243"/>
      <c r="M82" s="254">
        <f t="shared" si="26"/>
        <v>0</v>
      </c>
      <c r="S82" s="245"/>
      <c r="T82" s="245"/>
      <c r="BD82" s="227" t="s">
        <v>232</v>
      </c>
      <c r="BE82" s="228">
        <v>25</v>
      </c>
      <c r="BF82" s="228">
        <v>0.12</v>
      </c>
      <c r="BG82" s="82">
        <v>1.2</v>
      </c>
      <c r="BH82" s="229">
        <v>6</v>
      </c>
    </row>
    <row r="83" spans="3:60" ht="15" x14ac:dyDescent="0.25">
      <c r="C83" s="246" t="str">
        <f t="shared" si="21"/>
        <v>37</v>
      </c>
      <c r="D83" s="247">
        <f t="shared" si="22"/>
        <v>0.5</v>
      </c>
      <c r="E83" s="248">
        <f t="shared" si="23"/>
        <v>9.3800000000000008</v>
      </c>
      <c r="F83" s="249">
        <f t="shared" si="24"/>
        <v>0.10660980810234541</v>
      </c>
      <c r="G83" s="250">
        <f t="shared" si="27"/>
        <v>2.5586353944562896</v>
      </c>
      <c r="H83" s="251">
        <f t="shared" si="25"/>
        <v>24</v>
      </c>
      <c r="I83" s="248"/>
      <c r="J83" s="252"/>
      <c r="K83" s="253"/>
      <c r="L83" s="243"/>
      <c r="M83" s="254">
        <f t="shared" si="26"/>
        <v>0</v>
      </c>
      <c r="S83" s="245"/>
      <c r="T83" s="245"/>
      <c r="BD83" s="227" t="s">
        <v>233</v>
      </c>
      <c r="BE83" s="228">
        <v>25</v>
      </c>
      <c r="BF83" s="228">
        <v>0.12</v>
      </c>
      <c r="BG83" s="82">
        <v>1.3</v>
      </c>
      <c r="BH83" s="229">
        <v>6</v>
      </c>
    </row>
    <row r="84" spans="3:60" ht="15" x14ac:dyDescent="0.25">
      <c r="C84" s="246" t="str">
        <f t="shared" si="21"/>
        <v>38</v>
      </c>
      <c r="D84" s="247">
        <f t="shared" si="22"/>
        <v>0.5</v>
      </c>
      <c r="E84" s="248">
        <f t="shared" si="23"/>
        <v>9.17</v>
      </c>
      <c r="F84" s="249">
        <f t="shared" si="24"/>
        <v>0.10905125408942203</v>
      </c>
      <c r="G84" s="250">
        <f t="shared" si="27"/>
        <v>1.6357688113413305</v>
      </c>
      <c r="H84" s="251">
        <f t="shared" si="25"/>
        <v>15</v>
      </c>
      <c r="I84" s="248"/>
      <c r="J84" s="252"/>
      <c r="K84" s="253"/>
      <c r="L84" s="243"/>
      <c r="M84" s="254">
        <f t="shared" si="26"/>
        <v>0</v>
      </c>
      <c r="S84" s="245"/>
      <c r="T84" s="245"/>
      <c r="BD84" s="227" t="s">
        <v>234</v>
      </c>
      <c r="BE84" s="228">
        <v>20</v>
      </c>
      <c r="BF84" s="228">
        <v>0.13</v>
      </c>
      <c r="BG84" s="82">
        <v>1.4</v>
      </c>
      <c r="BH84" s="229">
        <v>6</v>
      </c>
    </row>
    <row r="85" spans="3:60" ht="15" x14ac:dyDescent="0.25">
      <c r="C85" s="246" t="str">
        <f t="shared" si="21"/>
        <v>39</v>
      </c>
      <c r="D85" s="247">
        <f t="shared" si="22"/>
        <v>0.5</v>
      </c>
      <c r="E85" s="248">
        <f t="shared" si="23"/>
        <v>8.9600000000000009</v>
      </c>
      <c r="F85" s="249">
        <f t="shared" si="24"/>
        <v>0.11160714285714285</v>
      </c>
      <c r="G85" s="250">
        <f t="shared" si="27"/>
        <v>0.89285714285714279</v>
      </c>
      <c r="H85" s="251">
        <f t="shared" si="25"/>
        <v>8</v>
      </c>
      <c r="I85" s="248"/>
      <c r="J85" s="252"/>
      <c r="K85" s="253"/>
      <c r="L85" s="243"/>
      <c r="M85" s="254">
        <f t="shared" si="26"/>
        <v>0</v>
      </c>
      <c r="S85" s="245"/>
      <c r="T85" s="245"/>
      <c r="BD85" s="227" t="s">
        <v>235</v>
      </c>
      <c r="BE85" s="228">
        <v>20</v>
      </c>
      <c r="BF85" s="228">
        <v>0.13</v>
      </c>
      <c r="BG85" s="82">
        <v>1.5</v>
      </c>
      <c r="BH85" s="229">
        <v>6</v>
      </c>
    </row>
    <row r="86" spans="3:60" ht="15" x14ac:dyDescent="0.25">
      <c r="C86" s="246" t="str">
        <f t="shared" si="21"/>
        <v>40</v>
      </c>
      <c r="D86" s="247">
        <f t="shared" si="22"/>
        <v>0.5</v>
      </c>
      <c r="E86" s="248">
        <f t="shared" si="23"/>
        <v>8.76</v>
      </c>
      <c r="F86" s="249">
        <f t="shared" si="24"/>
        <v>0.11415525114155252</v>
      </c>
      <c r="G86" s="250">
        <f t="shared" si="27"/>
        <v>0.45662100456621008</v>
      </c>
      <c r="H86" s="251">
        <f t="shared" si="25"/>
        <v>4</v>
      </c>
      <c r="I86" s="248"/>
      <c r="J86" s="252"/>
      <c r="K86" s="253"/>
      <c r="L86" s="243"/>
      <c r="M86" s="254">
        <f t="shared" si="26"/>
        <v>0</v>
      </c>
      <c r="S86" s="245"/>
      <c r="T86" s="245"/>
      <c r="BD86" s="227" t="s">
        <v>236</v>
      </c>
      <c r="BE86" s="228">
        <v>20</v>
      </c>
      <c r="BF86" s="228">
        <v>0.15</v>
      </c>
      <c r="BG86" s="82">
        <v>1.7</v>
      </c>
      <c r="BH86" s="229">
        <v>6</v>
      </c>
    </row>
    <row r="87" spans="3:60" ht="15" x14ac:dyDescent="0.25">
      <c r="C87" s="246">
        <f t="shared" si="21"/>
        <v>0</v>
      </c>
      <c r="D87" s="247">
        <f t="shared" si="22"/>
        <v>0</v>
      </c>
      <c r="E87" s="248">
        <f t="shared" si="23"/>
        <v>0</v>
      </c>
      <c r="F87" s="249">
        <f t="shared" si="24"/>
        <v>0</v>
      </c>
      <c r="G87" s="250">
        <f t="shared" si="27"/>
        <v>0</v>
      </c>
      <c r="H87" s="251">
        <f t="shared" si="25"/>
        <v>0</v>
      </c>
      <c r="I87" s="248"/>
      <c r="J87" s="252"/>
      <c r="K87" s="253"/>
      <c r="L87" s="243"/>
      <c r="M87" s="254">
        <f t="shared" si="26"/>
        <v>0</v>
      </c>
      <c r="S87" s="245"/>
      <c r="T87" s="245"/>
      <c r="BD87" s="227" t="s">
        <v>237</v>
      </c>
      <c r="BE87" s="228">
        <v>20</v>
      </c>
      <c r="BF87" s="228">
        <v>0.15</v>
      </c>
      <c r="BG87" s="82">
        <v>1.8</v>
      </c>
      <c r="BH87" s="229">
        <v>6</v>
      </c>
    </row>
    <row r="88" spans="3:60" ht="15" x14ac:dyDescent="0.25">
      <c r="C88" s="246">
        <f t="shared" si="21"/>
        <v>0</v>
      </c>
      <c r="D88" s="247">
        <f t="shared" si="22"/>
        <v>0</v>
      </c>
      <c r="E88" s="248">
        <f t="shared" si="23"/>
        <v>0</v>
      </c>
      <c r="F88" s="249">
        <f t="shared" si="24"/>
        <v>0</v>
      </c>
      <c r="G88" s="250">
        <f t="shared" si="27"/>
        <v>0</v>
      </c>
      <c r="H88" s="251">
        <f t="shared" si="25"/>
        <v>0</v>
      </c>
      <c r="I88" s="255"/>
      <c r="J88" s="252"/>
      <c r="K88" s="253"/>
      <c r="L88" s="243"/>
      <c r="M88" s="254">
        <f t="shared" si="26"/>
        <v>0</v>
      </c>
      <c r="S88" s="245"/>
      <c r="T88" s="245"/>
      <c r="BD88" s="227" t="s">
        <v>238</v>
      </c>
      <c r="BE88" s="228">
        <v>20</v>
      </c>
      <c r="BF88" s="228">
        <v>0.15</v>
      </c>
      <c r="BG88" s="82">
        <v>2</v>
      </c>
      <c r="BH88" s="229">
        <v>6</v>
      </c>
    </row>
    <row r="89" spans="3:60" ht="15" x14ac:dyDescent="0.25">
      <c r="C89" s="246">
        <f t="shared" si="21"/>
        <v>0</v>
      </c>
      <c r="D89" s="247"/>
      <c r="E89" s="248">
        <f t="shared" si="23"/>
        <v>0</v>
      </c>
      <c r="F89" s="249">
        <f t="shared" si="24"/>
        <v>0</v>
      </c>
      <c r="G89" s="250">
        <f t="shared" si="27"/>
        <v>0</v>
      </c>
      <c r="H89" s="251">
        <f t="shared" si="25"/>
        <v>0</v>
      </c>
      <c r="I89" s="255"/>
      <c r="J89" s="252"/>
      <c r="K89" s="253"/>
      <c r="L89" s="243"/>
      <c r="M89" s="254">
        <f t="shared" si="26"/>
        <v>0</v>
      </c>
      <c r="S89" s="245"/>
      <c r="T89" s="245"/>
      <c r="BD89" s="227" t="s">
        <v>239</v>
      </c>
      <c r="BE89" s="228">
        <v>18</v>
      </c>
      <c r="BF89" s="228">
        <v>0.15</v>
      </c>
      <c r="BG89" s="82">
        <v>2.2000000000000002</v>
      </c>
      <c r="BH89" s="229">
        <v>4</v>
      </c>
    </row>
    <row r="90" spans="3:60" ht="15" x14ac:dyDescent="0.25">
      <c r="C90" s="246">
        <f t="shared" si="21"/>
        <v>0</v>
      </c>
      <c r="D90" s="247"/>
      <c r="E90" s="248">
        <f t="shared" si="23"/>
        <v>0</v>
      </c>
      <c r="F90" s="249">
        <f t="shared" si="24"/>
        <v>0</v>
      </c>
      <c r="G90" s="250">
        <f t="shared" si="27"/>
        <v>0</v>
      </c>
      <c r="H90" s="251">
        <f t="shared" si="25"/>
        <v>0</v>
      </c>
      <c r="I90" s="255"/>
      <c r="J90" s="252"/>
      <c r="K90" s="253"/>
      <c r="L90" s="243"/>
      <c r="M90" s="254">
        <f t="shared" si="26"/>
        <v>0</v>
      </c>
      <c r="S90" s="245"/>
      <c r="T90" s="245"/>
      <c r="BD90" s="227" t="s">
        <v>240</v>
      </c>
      <c r="BE90" s="228">
        <v>18</v>
      </c>
      <c r="BF90" s="228">
        <v>0.15</v>
      </c>
      <c r="BG90" s="82">
        <v>2.2999999999999998</v>
      </c>
      <c r="BH90" s="229">
        <v>4</v>
      </c>
    </row>
    <row r="91" spans="3:60" ht="15" x14ac:dyDescent="0.25">
      <c r="C91" s="256"/>
      <c r="D91" s="257"/>
      <c r="E91" s="258"/>
      <c r="F91" s="258"/>
      <c r="G91" s="257">
        <f>SUM(G80:G90)</f>
        <v>10.198204177245891</v>
      </c>
      <c r="H91" s="258"/>
      <c r="I91" s="257"/>
      <c r="J91" s="259"/>
      <c r="K91" s="260"/>
      <c r="L91" s="257"/>
      <c r="M91" s="261">
        <f>SUM(M80:M90)</f>
        <v>0</v>
      </c>
      <c r="BD91" s="227" t="s">
        <v>241</v>
      </c>
      <c r="BE91" s="228">
        <v>18</v>
      </c>
      <c r="BF91" s="228">
        <v>0.15</v>
      </c>
      <c r="BG91" s="82">
        <v>2.4</v>
      </c>
      <c r="BH91" s="229">
        <v>4</v>
      </c>
    </row>
    <row r="92" spans="3:60" ht="15.75" thickBot="1" x14ac:dyDescent="0.3">
      <c r="C92" s="262"/>
      <c r="D92" s="263"/>
      <c r="E92" s="264">
        <f>1/G91*100</f>
        <v>9.8056479613458585</v>
      </c>
      <c r="F92" s="264"/>
      <c r="G92" s="265"/>
      <c r="H92" s="266"/>
      <c r="I92" s="264"/>
      <c r="J92" s="266"/>
      <c r="K92" s="267"/>
      <c r="L92" s="181"/>
      <c r="M92" s="181"/>
      <c r="BD92" s="227" t="s">
        <v>242</v>
      </c>
      <c r="BE92" s="228">
        <v>18</v>
      </c>
      <c r="BF92" s="228">
        <v>0.15</v>
      </c>
      <c r="BG92" s="82">
        <v>2.5</v>
      </c>
      <c r="BH92" s="229">
        <v>4</v>
      </c>
    </row>
    <row r="93" spans="3:60" x14ac:dyDescent="0.2">
      <c r="BD93" s="227" t="s">
        <v>243</v>
      </c>
      <c r="BE93" s="228">
        <v>18</v>
      </c>
      <c r="BF93" s="228">
        <v>0.16</v>
      </c>
      <c r="BG93" s="82">
        <v>2.7</v>
      </c>
      <c r="BH93" s="229">
        <v>4</v>
      </c>
    </row>
    <row r="94" spans="3:60" x14ac:dyDescent="0.2">
      <c r="BD94" s="227" t="s">
        <v>244</v>
      </c>
      <c r="BE94" s="228">
        <v>18</v>
      </c>
      <c r="BF94" s="228">
        <v>0.16</v>
      </c>
      <c r="BG94" s="82">
        <v>2.8</v>
      </c>
      <c r="BH94" s="229">
        <v>4</v>
      </c>
    </row>
    <row r="95" spans="3:60" x14ac:dyDescent="0.2">
      <c r="BD95" s="227" t="s">
        <v>245</v>
      </c>
      <c r="BE95" s="228">
        <v>18</v>
      </c>
      <c r="BF95" s="228">
        <v>0.16</v>
      </c>
      <c r="BG95" s="82">
        <v>2.9</v>
      </c>
      <c r="BH95" s="229">
        <v>4</v>
      </c>
    </row>
    <row r="96" spans="3:60" x14ac:dyDescent="0.2">
      <c r="BD96" s="227" t="s">
        <v>246</v>
      </c>
      <c r="BE96" s="228">
        <v>11</v>
      </c>
      <c r="BF96" s="228">
        <v>0.16</v>
      </c>
      <c r="BG96" s="82">
        <v>3</v>
      </c>
      <c r="BH96" s="229">
        <v>4</v>
      </c>
    </row>
    <row r="97" spans="56:60" x14ac:dyDescent="0.2">
      <c r="BD97" s="227" t="s">
        <v>247</v>
      </c>
      <c r="BE97" s="228">
        <v>11</v>
      </c>
      <c r="BF97" s="228">
        <v>0.16</v>
      </c>
      <c r="BG97" s="82">
        <v>3.5</v>
      </c>
      <c r="BH97" s="229">
        <v>3</v>
      </c>
    </row>
    <row r="98" spans="56:60" x14ac:dyDescent="0.2">
      <c r="BD98" s="227" t="s">
        <v>248</v>
      </c>
      <c r="BE98" s="228">
        <v>10</v>
      </c>
      <c r="BF98" s="228">
        <v>0.16</v>
      </c>
      <c r="BG98" s="82">
        <v>4</v>
      </c>
      <c r="BH98" s="229">
        <v>2</v>
      </c>
    </row>
    <row r="99" spans="56:60" x14ac:dyDescent="0.2">
      <c r="BD99" s="227" t="s">
        <v>249</v>
      </c>
      <c r="BE99" s="228">
        <v>10</v>
      </c>
      <c r="BF99" s="228">
        <v>0.17</v>
      </c>
      <c r="BG99" s="82">
        <v>4.2</v>
      </c>
      <c r="BH99" s="229">
        <v>2</v>
      </c>
    </row>
    <row r="100" spans="56:60" x14ac:dyDescent="0.2">
      <c r="BD100" s="227" t="s">
        <v>250</v>
      </c>
      <c r="BE100" s="228">
        <v>10</v>
      </c>
      <c r="BF100" s="228">
        <v>0.17</v>
      </c>
      <c r="BG100" s="82">
        <v>4.5</v>
      </c>
      <c r="BH100" s="229">
        <v>2</v>
      </c>
    </row>
    <row r="101" spans="56:60" x14ac:dyDescent="0.2">
      <c r="BD101" s="227" t="s">
        <v>251</v>
      </c>
      <c r="BE101" s="83">
        <v>10</v>
      </c>
      <c r="BF101" s="83">
        <v>0.17</v>
      </c>
      <c r="BG101" s="82">
        <v>4.8</v>
      </c>
      <c r="BH101" s="229">
        <v>2</v>
      </c>
    </row>
    <row r="102" spans="56:60" x14ac:dyDescent="0.2">
      <c r="BD102" s="227" t="s">
        <v>252</v>
      </c>
      <c r="BE102" s="83">
        <v>10</v>
      </c>
      <c r="BF102" s="83">
        <v>0.17</v>
      </c>
      <c r="BG102" s="82">
        <v>5</v>
      </c>
      <c r="BH102" s="229">
        <v>2</v>
      </c>
    </row>
    <row r="103" spans="56:60" x14ac:dyDescent="0.2">
      <c r="BD103" s="227" t="s">
        <v>253</v>
      </c>
      <c r="BE103" s="228">
        <v>10</v>
      </c>
      <c r="BF103" s="228"/>
      <c r="BG103" s="268">
        <v>5.5</v>
      </c>
      <c r="BH103" s="229">
        <v>2</v>
      </c>
    </row>
    <row r="104" spans="56:60" x14ac:dyDescent="0.2">
      <c r="BD104" s="227" t="s">
        <v>254</v>
      </c>
      <c r="BE104" s="83">
        <v>10</v>
      </c>
      <c r="BF104" s="83"/>
      <c r="BG104" s="268">
        <v>6</v>
      </c>
      <c r="BH104" s="229">
        <v>2</v>
      </c>
    </row>
    <row r="105" spans="56:60" x14ac:dyDescent="0.2">
      <c r="BD105" s="227" t="s">
        <v>255</v>
      </c>
      <c r="BE105" s="228">
        <v>45</v>
      </c>
      <c r="BF105" s="83"/>
      <c r="BG105" s="268"/>
      <c r="BH105" s="229">
        <v>4</v>
      </c>
    </row>
    <row r="106" spans="56:60" x14ac:dyDescent="0.2">
      <c r="BD106" s="227" t="s">
        <v>256</v>
      </c>
      <c r="BE106" s="228">
        <v>30</v>
      </c>
      <c r="BF106" s="83">
        <v>7.0000000000000007E-2</v>
      </c>
      <c r="BG106" s="268">
        <v>2</v>
      </c>
      <c r="BH106" s="229">
        <v>6</v>
      </c>
    </row>
    <row r="107" spans="56:60" x14ac:dyDescent="0.2">
      <c r="BD107" s="227" t="s">
        <v>257</v>
      </c>
      <c r="BE107" s="228">
        <v>91.44</v>
      </c>
      <c r="BF107" s="228">
        <v>7.0000000000000007E-2</v>
      </c>
      <c r="BG107" s="268">
        <v>0.15</v>
      </c>
      <c r="BH107" s="229">
        <v>6</v>
      </c>
    </row>
    <row r="108" spans="56:60" x14ac:dyDescent="0.2">
      <c r="BD108" s="227" t="s">
        <v>258</v>
      </c>
      <c r="BE108" s="228">
        <v>10</v>
      </c>
      <c r="BF108" s="228">
        <v>0.17</v>
      </c>
      <c r="BG108" s="268">
        <v>6</v>
      </c>
      <c r="BH108" s="229">
        <v>3</v>
      </c>
    </row>
    <row r="109" spans="56:60" x14ac:dyDescent="0.2">
      <c r="BD109" s="227" t="s">
        <v>259</v>
      </c>
      <c r="BE109" s="228">
        <v>50</v>
      </c>
      <c r="BF109" s="228"/>
      <c r="BG109" s="268">
        <v>0.3</v>
      </c>
      <c r="BH109" s="229">
        <v>2</v>
      </c>
    </row>
    <row r="110" spans="56:60" x14ac:dyDescent="0.2">
      <c r="BD110" s="227" t="s">
        <v>260</v>
      </c>
      <c r="BE110" s="228">
        <v>400</v>
      </c>
      <c r="BF110" s="83"/>
      <c r="BG110" s="268"/>
      <c r="BH110" s="229">
        <v>6</v>
      </c>
    </row>
    <row r="111" spans="56:60" x14ac:dyDescent="0.2">
      <c r="BD111" s="227" t="s">
        <v>261</v>
      </c>
      <c r="BE111" s="228">
        <v>50</v>
      </c>
      <c r="BF111" s="83"/>
      <c r="BG111" s="268"/>
      <c r="BH111" s="229">
        <v>6</v>
      </c>
    </row>
    <row r="112" spans="56:60" x14ac:dyDescent="0.2">
      <c r="BD112" s="227" t="s">
        <v>262</v>
      </c>
      <c r="BE112" s="228">
        <v>25</v>
      </c>
      <c r="BF112" s="228"/>
      <c r="BG112" s="268"/>
      <c r="BH112" s="229">
        <v>4</v>
      </c>
    </row>
    <row r="113" spans="56:60" x14ac:dyDescent="0.2">
      <c r="BD113" s="227" t="s">
        <v>263</v>
      </c>
      <c r="BE113" s="228">
        <v>100</v>
      </c>
      <c r="BF113" s="228"/>
      <c r="BG113" s="268"/>
      <c r="BH113" s="229">
        <v>6</v>
      </c>
    </row>
    <row r="114" spans="56:60" x14ac:dyDescent="0.2">
      <c r="BD114" s="227" t="s">
        <v>264</v>
      </c>
      <c r="BE114" s="228">
        <v>50</v>
      </c>
      <c r="BF114" s="228"/>
      <c r="BG114" s="268"/>
      <c r="BH114" s="229">
        <v>4</v>
      </c>
    </row>
    <row r="115" spans="56:60" x14ac:dyDescent="0.2">
      <c r="BD115" s="227" t="s">
        <v>265</v>
      </c>
      <c r="BE115" s="228">
        <v>50</v>
      </c>
      <c r="BF115" s="228">
        <v>0.15</v>
      </c>
      <c r="BG115" s="268">
        <v>1.2</v>
      </c>
      <c r="BH115" s="229">
        <v>4</v>
      </c>
    </row>
    <row r="116" spans="56:60" x14ac:dyDescent="0.2">
      <c r="BD116" s="227" t="s">
        <v>266</v>
      </c>
      <c r="BE116" s="228">
        <v>50</v>
      </c>
      <c r="BF116" s="228"/>
      <c r="BG116" s="268"/>
      <c r="BH116" s="229">
        <v>2</v>
      </c>
    </row>
    <row r="117" spans="56:60" x14ac:dyDescent="0.2">
      <c r="BD117" s="227" t="s">
        <v>267</v>
      </c>
      <c r="BE117" s="228">
        <v>35</v>
      </c>
      <c r="BF117" s="228">
        <v>0.17</v>
      </c>
      <c r="BG117" s="268">
        <v>2</v>
      </c>
      <c r="BH117" s="229">
        <v>4</v>
      </c>
    </row>
    <row r="118" spans="56:60" x14ac:dyDescent="0.2">
      <c r="BD118" s="227" t="s">
        <v>268</v>
      </c>
      <c r="BE118" s="228">
        <v>50</v>
      </c>
      <c r="BF118" s="228"/>
      <c r="BG118" s="268"/>
      <c r="BH118" s="229">
        <v>6</v>
      </c>
    </row>
    <row r="119" spans="56:60" x14ac:dyDescent="0.2">
      <c r="BD119" s="227" t="s">
        <v>269</v>
      </c>
      <c r="BE119" s="228">
        <v>20</v>
      </c>
      <c r="BF119" s="228">
        <v>0.15</v>
      </c>
      <c r="BG119" s="268">
        <v>2</v>
      </c>
      <c r="BH119" s="229">
        <v>4</v>
      </c>
    </row>
    <row r="120" spans="56:60" x14ac:dyDescent="0.2">
      <c r="BD120" s="227" t="s">
        <v>270</v>
      </c>
      <c r="BE120" s="228">
        <v>25</v>
      </c>
      <c r="BF120" s="228">
        <v>0.17</v>
      </c>
      <c r="BG120" s="268">
        <v>1.2</v>
      </c>
      <c r="BH120" s="229">
        <v>4</v>
      </c>
    </row>
    <row r="121" spans="56:60" x14ac:dyDescent="0.2">
      <c r="BD121" s="227" t="s">
        <v>271</v>
      </c>
      <c r="BE121" s="228">
        <v>50</v>
      </c>
      <c r="BF121" s="228"/>
      <c r="BG121" s="268"/>
      <c r="BH121" s="229">
        <v>4</v>
      </c>
    </row>
    <row r="122" spans="56:60" x14ac:dyDescent="0.2">
      <c r="BD122" s="227" t="s">
        <v>272</v>
      </c>
      <c r="BE122" s="228">
        <v>50</v>
      </c>
      <c r="BF122" s="228"/>
      <c r="BG122" s="268"/>
      <c r="BH122" s="229">
        <v>4</v>
      </c>
    </row>
    <row r="123" spans="56:60" x14ac:dyDescent="0.2">
      <c r="BD123" s="227" t="s">
        <v>273</v>
      </c>
      <c r="BE123" s="228">
        <v>400</v>
      </c>
      <c r="BF123" s="228"/>
      <c r="BG123" s="268"/>
      <c r="BH123" s="229">
        <v>6</v>
      </c>
    </row>
    <row r="124" spans="56:60" x14ac:dyDescent="0.2">
      <c r="BD124" s="227" t="s">
        <v>274</v>
      </c>
      <c r="BE124" s="228">
        <v>60</v>
      </c>
      <c r="BF124" s="228"/>
      <c r="BG124" s="268"/>
      <c r="BH124" s="229">
        <v>10</v>
      </c>
    </row>
    <row r="125" spans="56:60" x14ac:dyDescent="0.2">
      <c r="BD125" s="227" t="s">
        <v>275</v>
      </c>
      <c r="BE125" s="228">
        <v>100</v>
      </c>
      <c r="BF125" s="228"/>
      <c r="BG125" s="268"/>
      <c r="BH125" s="229">
        <v>8</v>
      </c>
    </row>
    <row r="126" spans="56:60" x14ac:dyDescent="0.2">
      <c r="BD126" s="227" t="s">
        <v>276</v>
      </c>
      <c r="BE126" s="228">
        <v>50</v>
      </c>
      <c r="BF126" s="228"/>
      <c r="BG126" s="268"/>
      <c r="BH126" s="229">
        <v>6</v>
      </c>
    </row>
    <row r="127" spans="56:60" x14ac:dyDescent="0.2">
      <c r="BD127" s="227" t="s">
        <v>277</v>
      </c>
      <c r="BE127" s="228">
        <v>50</v>
      </c>
      <c r="BF127" s="228"/>
      <c r="BG127" s="268"/>
      <c r="BH127" s="229">
        <v>6</v>
      </c>
    </row>
    <row r="128" spans="56:60" x14ac:dyDescent="0.2">
      <c r="BD128" s="227" t="s">
        <v>278</v>
      </c>
      <c r="BE128" s="228">
        <v>50</v>
      </c>
      <c r="BF128" s="228"/>
      <c r="BG128" s="268"/>
      <c r="BH128" s="229">
        <v>4</v>
      </c>
    </row>
    <row r="129" spans="56:60" x14ac:dyDescent="0.2">
      <c r="BD129" s="227" t="s">
        <v>279</v>
      </c>
      <c r="BE129" s="228">
        <v>100</v>
      </c>
      <c r="BF129" s="269">
        <v>0.15</v>
      </c>
      <c r="BG129" s="268">
        <v>2</v>
      </c>
      <c r="BH129" s="229">
        <v>6</v>
      </c>
    </row>
    <row r="130" spans="56:60" x14ac:dyDescent="0.2">
      <c r="BD130" s="227" t="s">
        <v>280</v>
      </c>
      <c r="BE130" s="228">
        <v>50</v>
      </c>
      <c r="BF130" s="269">
        <v>0.16</v>
      </c>
      <c r="BG130" s="268">
        <v>3</v>
      </c>
      <c r="BH130" s="229">
        <v>6</v>
      </c>
    </row>
    <row r="131" spans="56:60" x14ac:dyDescent="0.2">
      <c r="BD131" s="227" t="s">
        <v>281</v>
      </c>
      <c r="BE131" s="228">
        <v>40</v>
      </c>
      <c r="BF131" s="269">
        <v>0.16</v>
      </c>
      <c r="BG131" s="268">
        <v>4</v>
      </c>
      <c r="BH131" s="229">
        <v>6</v>
      </c>
    </row>
    <row r="132" spans="56:60" x14ac:dyDescent="0.2">
      <c r="BD132" s="270" t="s">
        <v>282</v>
      </c>
      <c r="BE132" s="228">
        <v>30</v>
      </c>
      <c r="BF132" s="269">
        <v>0.17</v>
      </c>
      <c r="BG132" s="233">
        <v>5</v>
      </c>
      <c r="BH132" s="271">
        <v>3</v>
      </c>
    </row>
    <row r="133" spans="56:60" x14ac:dyDescent="0.2">
      <c r="BD133" s="227" t="s">
        <v>283</v>
      </c>
      <c r="BE133" s="228">
        <v>25</v>
      </c>
      <c r="BF133" s="269">
        <v>0.17</v>
      </c>
      <c r="BG133" s="268">
        <v>7</v>
      </c>
      <c r="BH133" s="229">
        <v>3</v>
      </c>
    </row>
    <row r="134" spans="56:60" x14ac:dyDescent="0.2">
      <c r="BD134" s="227" t="s">
        <v>284</v>
      </c>
      <c r="BE134" s="228">
        <v>90</v>
      </c>
      <c r="BF134" s="269"/>
      <c r="BG134" s="268"/>
      <c r="BH134" s="229">
        <v>6</v>
      </c>
    </row>
    <row r="135" spans="56:60" ht="13.5" thickBot="1" x14ac:dyDescent="0.25">
      <c r="BD135" s="272" t="s">
        <v>285</v>
      </c>
      <c r="BE135" s="273">
        <v>100</v>
      </c>
      <c r="BF135" s="273"/>
      <c r="BG135" s="274"/>
      <c r="BH135" s="275">
        <v>2</v>
      </c>
    </row>
    <row r="444" spans="59:59" x14ac:dyDescent="0.2">
      <c r="BG444" s="276"/>
    </row>
  </sheetData>
  <autoFilter ref="P9:P72" xr:uid="{00000000-0009-0000-0000-000008000000}"/>
  <mergeCells count="115">
    <mergeCell ref="CT1:CV1"/>
    <mergeCell ref="CX1:CZ1"/>
    <mergeCell ref="CU2:CV2"/>
    <mergeCell ref="CY2:CZ2"/>
    <mergeCell ref="C3:E7"/>
    <mergeCell ref="AY3:BB3"/>
    <mergeCell ref="CU3:CV3"/>
    <mergeCell ref="CY3:CZ3"/>
    <mergeCell ref="AO4:AQ4"/>
    <mergeCell ref="AU4:AX4"/>
    <mergeCell ref="F9:G9"/>
    <mergeCell ref="H9:J9"/>
    <mergeCell ref="K9:M9"/>
    <mergeCell ref="AU9:AX9"/>
    <mergeCell ref="AY4:BB10"/>
    <mergeCell ref="CU4:CV4"/>
    <mergeCell ref="CY4:CZ4"/>
    <mergeCell ref="DJ4:DK4"/>
    <mergeCell ref="AU5:AX5"/>
    <mergeCell ref="CU5:CV5"/>
    <mergeCell ref="CY5:CZ5"/>
    <mergeCell ref="AU6:AX6"/>
    <mergeCell ref="DE9:DF9"/>
    <mergeCell ref="AU10:AX10"/>
    <mergeCell ref="CS10:CV10"/>
    <mergeCell ref="CX10:DA10"/>
    <mergeCell ref="H11:J12"/>
    <mergeCell ref="K11:M12"/>
    <mergeCell ref="CS11:CV11"/>
    <mergeCell ref="CX11:DA11"/>
    <mergeCell ref="AO7:AQ7"/>
    <mergeCell ref="L8:M8"/>
    <mergeCell ref="CS8:DA8"/>
    <mergeCell ref="DE11:DF11"/>
    <mergeCell ref="CT12:CV12"/>
    <mergeCell ref="CY12:DA12"/>
    <mergeCell ref="DE12:DF12"/>
    <mergeCell ref="H13:M13"/>
    <mergeCell ref="BD13:BL13"/>
    <mergeCell ref="BX13:CF13"/>
    <mergeCell ref="CT13:CV13"/>
    <mergeCell ref="CY13:DA13"/>
    <mergeCell ref="DE13:DF13"/>
    <mergeCell ref="CT14:CV14"/>
    <mergeCell ref="CY14:DA14"/>
    <mergeCell ref="DJ14:DK14"/>
    <mergeCell ref="BD15:BI15"/>
    <mergeCell ref="BN15:BU15"/>
    <mergeCell ref="BX15:CC15"/>
    <mergeCell ref="CH15:CO15"/>
    <mergeCell ref="CT15:CV15"/>
    <mergeCell ref="CY15:DA15"/>
    <mergeCell ref="DJ15:DK15"/>
    <mergeCell ref="BD14:BI14"/>
    <mergeCell ref="BN14:BV14"/>
    <mergeCell ref="BX14:CC14"/>
    <mergeCell ref="CH14:CP14"/>
    <mergeCell ref="CH16:CO16"/>
    <mergeCell ref="CT16:CV16"/>
    <mergeCell ref="CY16:DA16"/>
    <mergeCell ref="DE16:DF16"/>
    <mergeCell ref="H17:M17"/>
    <mergeCell ref="AO17:AP17"/>
    <mergeCell ref="AT17:AY17"/>
    <mergeCell ref="BD17:BI17"/>
    <mergeCell ref="BN17:BU17"/>
    <mergeCell ref="BX17:CC17"/>
    <mergeCell ref="H14:M16"/>
    <mergeCell ref="AT14:AY14"/>
    <mergeCell ref="AT16:AY16"/>
    <mergeCell ref="BD16:BI16"/>
    <mergeCell ref="BN16:BU16"/>
    <mergeCell ref="BX16:CC16"/>
    <mergeCell ref="CH17:CO17"/>
    <mergeCell ref="DE17:DF17"/>
    <mergeCell ref="DJ17:DK17"/>
    <mergeCell ref="H18:M21"/>
    <mergeCell ref="AO18:AP18"/>
    <mergeCell ref="AT18:AY18"/>
    <mergeCell ref="BN18:BU18"/>
    <mergeCell ref="CH18:CO18"/>
    <mergeCell ref="CT18:CV18"/>
    <mergeCell ref="CY18:DA18"/>
    <mergeCell ref="AT20:AY20"/>
    <mergeCell ref="BN20:BU20"/>
    <mergeCell ref="CH20:CO20"/>
    <mergeCell ref="AT21:AY21"/>
    <mergeCell ref="BN21:BU21"/>
    <mergeCell ref="CH21:CO21"/>
    <mergeCell ref="DJ18:DK18"/>
    <mergeCell ref="AT19:AY19"/>
    <mergeCell ref="BN19:BU19"/>
    <mergeCell ref="CH19:CO19"/>
    <mergeCell ref="CT19:CV19"/>
    <mergeCell ref="CY19:DA19"/>
    <mergeCell ref="CT21:CV21"/>
    <mergeCell ref="CY21:DA21"/>
    <mergeCell ref="AT22:AY22"/>
    <mergeCell ref="CT22:CV22"/>
    <mergeCell ref="CY22:DA22"/>
    <mergeCell ref="C23:M23"/>
    <mergeCell ref="BN23:BV27"/>
    <mergeCell ref="C25:E25"/>
    <mergeCell ref="J25:L25"/>
    <mergeCell ref="C58:M62"/>
    <mergeCell ref="C63:M65"/>
    <mergeCell ref="C68:M69"/>
    <mergeCell ref="C70:M70"/>
    <mergeCell ref="C71:M71"/>
    <mergeCell ref="F33:H35"/>
    <mergeCell ref="J35:K35"/>
    <mergeCell ref="F36:H38"/>
    <mergeCell ref="C43:M43"/>
    <mergeCell ref="C55:M56"/>
    <mergeCell ref="C57:M57"/>
  </mergeCells>
  <conditionalFormatting sqref="DE15">
    <cfRule type="cellIs" dxfId="3" priority="2" stopIfTrue="1" operator="greaterThan">
      <formula>12.5</formula>
    </cfRule>
  </conditionalFormatting>
  <conditionalFormatting sqref="DF15">
    <cfRule type="cellIs" dxfId="2" priority="1" stopIfTrue="1" operator="greaterThan">
      <formula>12.5</formula>
    </cfRule>
  </conditionalFormatting>
  <printOptions horizontalCentered="1"/>
  <pageMargins left="0.23622047244094491" right="0.23622047244094491" top="0.31496062992125984" bottom="0.23622047244094491" header="0.23622047244094491" footer="0.19685039370078741"/>
  <pageSetup paperSize="9" scale="65" fitToHeight="2" orientation="portrait" r:id="rId1"/>
  <headerFooter alignWithMargins="0">
    <oddFooter>&amp;L_x000D_&amp;1#&amp;"Aptos"&amp;10&amp;K000000 Classificação Privada</oddFooter>
  </headerFooter>
  <rowBreaks count="1" manualBreakCount="1">
    <brk id="72" min="1" max="1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5]!imprimir">
                <anchor moveWithCells="1" sizeWithCells="1">
                  <from>
                    <xdr:col>11</xdr:col>
                    <xdr:colOff>152400</xdr:colOff>
                    <xdr:row>0</xdr:row>
                    <xdr:rowOff>76200</xdr:rowOff>
                  </from>
                  <to>
                    <xdr:col>14</xdr:col>
                    <xdr:colOff>9525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5]!Módulo16.VOLTAR">
                <anchor moveWithCells="1" sizeWithCells="1">
                  <from>
                    <xdr:col>9</xdr:col>
                    <xdr:colOff>276225</xdr:colOff>
                    <xdr:row>0</xdr:row>
                    <xdr:rowOff>85725</xdr:rowOff>
                  </from>
                  <to>
                    <xdr:col>11</xdr:col>
                    <xdr:colOff>57150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C212A-0B87-40E3-BBC9-B4324271FBED}">
  <sheetPr codeName="PLAN26">
    <tabColor rgb="FF70AD47"/>
  </sheetPr>
  <dimension ref="B1:FI444"/>
  <sheetViews>
    <sheetView showGridLines="0" showZeros="0" zoomScale="85" zoomScaleNormal="85" zoomScaleSheetLayoutView="70" workbookViewId="0">
      <selection activeCell="EY45" sqref="EY45"/>
    </sheetView>
  </sheetViews>
  <sheetFormatPr defaultColWidth="6.7109375" defaultRowHeight="12.75" x14ac:dyDescent="0.2"/>
  <cols>
    <col min="1" max="1" width="2.140625" style="1" customWidth="1"/>
    <col min="2" max="2" width="0.7109375" style="1" customWidth="1"/>
    <col min="3" max="3" width="14.5703125" style="1" customWidth="1"/>
    <col min="4" max="4" width="11.140625" style="1" customWidth="1"/>
    <col min="5" max="5" width="16.42578125" style="1" customWidth="1"/>
    <col min="6" max="6" width="18.28515625" style="1" customWidth="1"/>
    <col min="7" max="7" width="12.7109375" style="1" customWidth="1"/>
    <col min="8" max="8" width="22.140625" style="1" customWidth="1"/>
    <col min="9" max="9" width="15.28515625" style="1" customWidth="1"/>
    <col min="10" max="10" width="14.7109375" style="1" customWidth="1"/>
    <col min="11" max="11" width="15.85546875" style="1" customWidth="1"/>
    <col min="12" max="12" width="11.7109375" style="1" customWidth="1"/>
    <col min="13" max="13" width="11.28515625" style="1" customWidth="1"/>
    <col min="14" max="14" width="1" style="1" customWidth="1"/>
    <col min="15" max="15" width="1.140625" style="1" customWidth="1"/>
    <col min="16" max="16" width="2.85546875" style="1" customWidth="1"/>
    <col min="17" max="17" width="6.7109375" style="1" hidden="1" customWidth="1"/>
    <col min="18" max="18" width="2" style="1" hidden="1" customWidth="1"/>
    <col min="19" max="19" width="3.28515625" style="1" hidden="1" customWidth="1"/>
    <col min="20" max="23" width="7.140625" style="1" hidden="1" customWidth="1"/>
    <col min="24" max="24" width="0.42578125" style="1" hidden="1" customWidth="1"/>
    <col min="25" max="25" width="4.28515625" style="1" hidden="1" customWidth="1"/>
    <col min="26" max="36" width="7.140625" style="1" hidden="1" customWidth="1"/>
    <col min="37" max="37" width="10.42578125" style="1" hidden="1" customWidth="1"/>
    <col min="38" max="39" width="7.140625" style="1" hidden="1" customWidth="1"/>
    <col min="40" max="40" width="0.42578125" style="1" hidden="1" customWidth="1"/>
    <col min="41" max="41" width="24.85546875" style="1" hidden="1" customWidth="1"/>
    <col min="42" max="42" width="6.7109375" style="1" hidden="1" customWidth="1"/>
    <col min="43" max="43" width="7.42578125" style="1" hidden="1" customWidth="1"/>
    <col min="44" max="45" width="6.7109375" style="1" hidden="1" customWidth="1"/>
    <col min="46" max="46" width="11" style="1" hidden="1" customWidth="1"/>
    <col min="47" max="51" width="8.5703125" style="1" hidden="1" customWidth="1"/>
    <col min="52" max="52" width="7.7109375" style="1" hidden="1" customWidth="1"/>
    <col min="53" max="54" width="6.42578125" style="1" hidden="1" customWidth="1"/>
    <col min="55" max="55" width="0.42578125" style="1" hidden="1" customWidth="1"/>
    <col min="56" max="56" width="20.28515625" style="1" hidden="1" customWidth="1"/>
    <col min="57" max="57" width="21.28515625" style="1" hidden="1" customWidth="1"/>
    <col min="58" max="61" width="8.5703125" style="1" hidden="1" customWidth="1"/>
    <col min="62" max="62" width="13.85546875" style="1" hidden="1" customWidth="1"/>
    <col min="63" max="64" width="10.140625" style="1" hidden="1" customWidth="1"/>
    <col min="65" max="65" width="0.42578125" style="1" hidden="1" customWidth="1"/>
    <col min="66" max="66" width="11" style="1" hidden="1" customWidth="1"/>
    <col min="67" max="71" width="8.5703125" style="1" hidden="1" customWidth="1"/>
    <col min="72" max="72" width="7.5703125" style="1" hidden="1" customWidth="1"/>
    <col min="73" max="73" width="6.42578125" style="1" hidden="1" customWidth="1"/>
    <col min="74" max="74" width="9.28515625" style="1" hidden="1" customWidth="1"/>
    <col min="75" max="81" width="6.7109375" style="1" hidden="1" customWidth="1"/>
    <col min="82" max="84" width="10.140625" style="1" hidden="1" customWidth="1"/>
    <col min="85" max="98" width="6.7109375" style="1" hidden="1" customWidth="1"/>
    <col min="99" max="99" width="9" style="1" hidden="1" customWidth="1"/>
    <col min="100" max="100" width="10.5703125" style="1" hidden="1" customWidth="1"/>
    <col min="101" max="108" width="6.7109375" style="1" hidden="1" customWidth="1"/>
    <col min="109" max="110" width="11.5703125" style="1" hidden="1" customWidth="1"/>
    <col min="111" max="113" width="6.7109375" style="1" hidden="1" customWidth="1"/>
    <col min="114" max="114" width="26.42578125" style="1" hidden="1" customWidth="1"/>
    <col min="115" max="115" width="26.5703125" style="1" hidden="1" customWidth="1"/>
    <col min="116" max="116" width="9" style="1" hidden="1" customWidth="1"/>
    <col min="117" max="117" width="12.85546875" style="1" hidden="1" customWidth="1"/>
    <col min="118" max="118" width="9.140625" style="1" hidden="1" customWidth="1"/>
    <col min="119" max="119" width="22.140625" style="1" hidden="1" customWidth="1"/>
    <col min="120" max="120" width="12.42578125" style="1" hidden="1" customWidth="1"/>
    <col min="121" max="121" width="13.85546875" style="1" hidden="1" customWidth="1"/>
    <col min="122" max="148" width="6.7109375" style="1" hidden="1" customWidth="1"/>
    <col min="149" max="149" width="6.7109375" style="1" customWidth="1"/>
    <col min="150" max="150" width="8.85546875" style="1" bestFit="1" customWidth="1"/>
    <col min="151" max="151" width="9.7109375" style="1" bestFit="1" customWidth="1"/>
    <col min="152" max="177" width="6.7109375" style="1" customWidth="1"/>
    <col min="178" max="16384" width="6.7109375" style="1"/>
  </cols>
  <sheetData>
    <row r="1" spans="2:165" ht="36" customHeight="1" thickBot="1" x14ac:dyDescent="0.3">
      <c r="AK1" s="2">
        <f>AVERAGE(K27:L27)</f>
        <v>13.23</v>
      </c>
      <c r="AN1" s="2">
        <f>AVERAGE(K27:L27)</f>
        <v>13.23</v>
      </c>
      <c r="CS1" s="3"/>
      <c r="CT1" s="434" t="s">
        <v>0</v>
      </c>
      <c r="CU1" s="435"/>
      <c r="CV1" s="436"/>
      <c r="CW1" s="4"/>
      <c r="CX1" s="434" t="s">
        <v>1</v>
      </c>
      <c r="CY1" s="435"/>
      <c r="CZ1" s="436"/>
      <c r="DA1" s="3"/>
    </row>
    <row r="2" spans="2:165" ht="4.5" customHeight="1" x14ac:dyDescent="0.25"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7"/>
      <c r="CS2" s="3"/>
      <c r="CT2" s="8" t="s">
        <v>2</v>
      </c>
      <c r="CU2" s="437">
        <v>35</v>
      </c>
      <c r="CV2" s="438"/>
      <c r="CW2" s="9"/>
      <c r="CX2" s="8" t="s">
        <v>2</v>
      </c>
      <c r="CY2" s="439">
        <f>MAX(K27:K37)</f>
        <v>4</v>
      </c>
      <c r="CZ2" s="440"/>
      <c r="DA2" s="3"/>
    </row>
    <row r="3" spans="2:165" ht="38.25" customHeight="1" x14ac:dyDescent="0.25">
      <c r="B3" s="10"/>
      <c r="C3" s="441" t="s">
        <v>3</v>
      </c>
      <c r="D3" s="442"/>
      <c r="E3" s="443"/>
      <c r="F3" s="11" t="s">
        <v>4</v>
      </c>
      <c r="G3" s="11"/>
      <c r="H3" s="12"/>
      <c r="I3" s="12"/>
      <c r="J3" s="13"/>
      <c r="K3" s="13"/>
      <c r="L3" s="13"/>
      <c r="M3" s="13"/>
      <c r="N3" s="14"/>
      <c r="S3" s="15" t="s">
        <v>5</v>
      </c>
      <c r="T3" s="16"/>
      <c r="U3" s="16"/>
      <c r="V3" s="16"/>
      <c r="W3" s="17"/>
      <c r="X3" s="18"/>
      <c r="Y3" s="15" t="s">
        <v>6</v>
      </c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>
        <f>IF(AK1&gt;25,4,6)</f>
        <v>6</v>
      </c>
      <c r="AL3" s="19"/>
      <c r="AM3" s="20"/>
      <c r="AN3" s="21"/>
      <c r="AO3" s="15" t="s">
        <v>7</v>
      </c>
      <c r="AP3" s="22"/>
      <c r="AQ3" s="23"/>
      <c r="AT3" s="24" t="s">
        <v>8</v>
      </c>
      <c r="AU3" s="25"/>
      <c r="AV3" s="25"/>
      <c r="AW3" s="25"/>
      <c r="AX3" s="25"/>
      <c r="AY3" s="447" t="s">
        <v>9</v>
      </c>
      <c r="AZ3" s="447"/>
      <c r="BA3" s="447"/>
      <c r="BB3" s="447"/>
      <c r="CS3" s="3"/>
      <c r="CT3" s="26" t="s">
        <v>10</v>
      </c>
      <c r="CU3" s="422">
        <v>56</v>
      </c>
      <c r="CV3" s="423"/>
      <c r="CW3" s="9"/>
      <c r="CX3" s="26" t="s">
        <v>10</v>
      </c>
      <c r="CY3" s="424">
        <f>MAX(L27:L37)</f>
        <v>14.94</v>
      </c>
      <c r="CZ3" s="425"/>
      <c r="DA3" s="3"/>
    </row>
    <row r="4" spans="2:165" ht="21.95" customHeight="1" x14ac:dyDescent="0.25">
      <c r="B4" s="10"/>
      <c r="C4" s="444"/>
      <c r="D4" s="445"/>
      <c r="E4" s="446"/>
      <c r="F4" s="27" t="s">
        <v>11</v>
      </c>
      <c r="G4" s="28"/>
      <c r="H4" s="29"/>
      <c r="K4" s="30" t="s">
        <v>12</v>
      </c>
      <c r="L4" s="31"/>
      <c r="N4" s="14"/>
      <c r="S4" s="32" t="s">
        <v>13</v>
      </c>
      <c r="T4" s="33" t="s">
        <v>14</v>
      </c>
      <c r="U4" s="34" t="s">
        <v>2</v>
      </c>
      <c r="V4" s="34" t="s">
        <v>15</v>
      </c>
      <c r="W4" s="34" t="s">
        <v>16</v>
      </c>
      <c r="X4" s="18"/>
      <c r="Y4" s="33" t="s">
        <v>17</v>
      </c>
      <c r="Z4" s="35" t="s">
        <v>18</v>
      </c>
      <c r="AA4" s="35" t="s">
        <v>19</v>
      </c>
      <c r="AB4" s="35" t="s">
        <v>20</v>
      </c>
      <c r="AC4" s="33" t="s">
        <v>18</v>
      </c>
      <c r="AD4" s="33" t="s">
        <v>21</v>
      </c>
      <c r="AE4" s="33" t="s">
        <v>20</v>
      </c>
      <c r="AF4" s="35" t="s">
        <v>18</v>
      </c>
      <c r="AG4" s="35" t="s">
        <v>22</v>
      </c>
      <c r="AH4" s="35" t="s">
        <v>20</v>
      </c>
      <c r="AI4" s="33" t="s">
        <v>23</v>
      </c>
      <c r="AJ4" s="36" t="s">
        <v>24</v>
      </c>
      <c r="AK4" s="36" t="s">
        <v>25</v>
      </c>
      <c r="AL4" s="37" t="s">
        <v>26</v>
      </c>
      <c r="AM4" s="37" t="s">
        <v>27</v>
      </c>
      <c r="AN4" s="21"/>
      <c r="AO4" s="448" t="s">
        <v>28</v>
      </c>
      <c r="AP4" s="449"/>
      <c r="AQ4" s="450"/>
      <c r="AT4" s="38" t="s">
        <v>29</v>
      </c>
      <c r="AU4" s="418"/>
      <c r="AV4" s="419"/>
      <c r="AW4" s="419"/>
      <c r="AX4" s="420"/>
      <c r="AY4" s="421"/>
      <c r="AZ4" s="421"/>
      <c r="BA4" s="421"/>
      <c r="BB4" s="421"/>
      <c r="CS4" s="3"/>
      <c r="CT4" s="26" t="s">
        <v>30</v>
      </c>
      <c r="CU4" s="422">
        <v>16</v>
      </c>
      <c r="CV4" s="423"/>
      <c r="CW4" s="9"/>
      <c r="CX4" s="26" t="s">
        <v>31</v>
      </c>
      <c r="CY4" s="424" t="e">
        <f>(VLOOKUP(H14,BD72:BG448,4,FALSE)/10)</f>
        <v>#N/A</v>
      </c>
      <c r="CZ4" s="425"/>
      <c r="DA4" s="3"/>
      <c r="DJ4" s="347" t="s">
        <v>32</v>
      </c>
      <c r="DK4" s="347"/>
      <c r="DL4" s="40"/>
      <c r="DM4" s="39" t="s">
        <v>33</v>
      </c>
      <c r="DN4" s="41" t="s">
        <v>34</v>
      </c>
      <c r="DO4" s="41" t="s">
        <v>35</v>
      </c>
      <c r="DP4" s="42" t="s">
        <v>36</v>
      </c>
    </row>
    <row r="5" spans="2:165" ht="21.95" customHeight="1" thickBot="1" x14ac:dyDescent="0.3">
      <c r="B5" s="10"/>
      <c r="C5" s="444"/>
      <c r="D5" s="445"/>
      <c r="E5" s="446"/>
      <c r="F5" s="43" t="s">
        <v>286</v>
      </c>
      <c r="G5" s="28"/>
      <c r="H5" s="44"/>
      <c r="K5" s="30" t="s">
        <v>38</v>
      </c>
      <c r="L5" s="31"/>
      <c r="N5" s="14"/>
      <c r="S5" s="45" t="s">
        <v>39</v>
      </c>
      <c r="T5" s="46" t="str">
        <f t="shared" ref="T5:V14" si="0">IF(J27="","",J27)</f>
        <v>334</v>
      </c>
      <c r="U5" s="47" t="str">
        <f t="shared" si="0"/>
        <v>17,42+16,62</v>
      </c>
      <c r="V5" s="47">
        <f t="shared" si="0"/>
        <v>13.23</v>
      </c>
      <c r="W5" s="47" t="e">
        <f>U5*V5</f>
        <v>#VALUE!</v>
      </c>
      <c r="X5" s="48"/>
      <c r="Y5" s="45" t="s">
        <v>39</v>
      </c>
      <c r="Z5" s="49">
        <f>IFERROR(IF(VLOOKUP($Y5,$C$45:$M$54,2,0)=0,"",VLOOKUP($Y5,$C$45:$M$54,2,0)),"")</f>
        <v>8</v>
      </c>
      <c r="AA5" s="49">
        <f t="shared" ref="AA5:AA14" si="1">IFERROR(IF(VLOOKUP($Y5,$C$45:$M$54,3,0)=0,"",VLOOKUP($Y5,$C$45:$M$54,3,0)),"")</f>
        <v>356</v>
      </c>
      <c r="AB5" s="49" t="str">
        <f t="shared" ref="AB5:AB14" si="2">IFERROR(IF(VLOOKUP($Y5,$C$45:$M$54,4,0)=0,"",VLOOKUP($Y5,$C$45:$M$54,4,0)),"")</f>
        <v>L</v>
      </c>
      <c r="AC5" s="49" t="str">
        <f t="shared" ref="AC5:AC14" si="3">IFERROR(IF(VLOOKUP($Y5,$C$45:$M$54,5,0)=0,"",VLOOKUP($Y5,$C$45:$M$54,5,0)),"")</f>
        <v/>
      </c>
      <c r="AD5" s="49" t="str">
        <f t="shared" ref="AD5:AD14" si="4">IFERROR(IF(VLOOKUP($Y5,$C$45:$M$54,6,0)=0,"",VLOOKUP($Y5,$C$45:$M$54,6,0)),"")</f>
        <v/>
      </c>
      <c r="AE5" s="49" t="str">
        <f t="shared" ref="AE5:AE14" si="5">IFERROR(IF(VLOOKUP($Y5,$C$45:$M$54,7,0)=0,"",VLOOKUP($Y5,$C$45:$M$54,7,0)),"")</f>
        <v/>
      </c>
      <c r="AF5" s="49" t="str">
        <f t="shared" ref="AF5:AF14" si="6">IFERROR(IF(VLOOKUP($Y5,$C$45:$M$54,8,0)=0,"",VLOOKUP($Y5,$C$45:$M$54,8,0)),"")</f>
        <v/>
      </c>
      <c r="AG5" s="49">
        <f t="shared" ref="AG5:AG14" si="7">IFERROR(IF(VLOOKUP($Y5,$C$45:$M$54,9,0)=0,"",VLOOKUP($Y5,$C$45:$M$54,9,0)),"")</f>
        <v>134.88</v>
      </c>
      <c r="AH5" s="49" t="str">
        <f t="shared" ref="AH5:AH14" si="8">IFERROR(IF(VLOOKUP($Y5,$C$45:$M$54,10,0)=0,"",VLOOKUP($Y5,$C$45:$M$54,10,0)),"")</f>
        <v/>
      </c>
      <c r="AI5" s="49" t="str">
        <f t="shared" ref="AI5:AI14" si="9">IFERROR(IF(VLOOKUP($Y5,$C$45:$M$54,11,0)=0,"",VLOOKUP($Y5,$C$45:$M$54,11,0)),"")</f>
        <v>137,0</v>
      </c>
      <c r="AJ5" s="50">
        <f>IFERROR((SUM(AC5,Z5,AF5)*$AQ$6),0)</f>
        <v>0</v>
      </c>
      <c r="AK5" s="50" t="str">
        <f>IF(AND(AC5="",AF5=""),"-",IF(AND(AC5&lt;&gt;"",AF5=""),IF(AD5&lt;&gt;AA5,AC5*$AQ$6*$AQ$5,"-"),IF(AG5&lt;&gt;AA5,AF5*$AQ$6*$AQ$5,IF(AND(AC5&lt;&gt;"",AF5&lt;&gt;""),IF(AND(AD5&lt;&gt;AA5,AG5&lt;&gt;AA5),SUM(AF5,AC5)*$AQ$6*$AQ$5,"-"),"-"))))</f>
        <v>-</v>
      </c>
      <c r="AL5" s="51">
        <f>IFERROR(IF(AND(AA5="",AD5="",AG5=""),"-",IF(AND(AG5="",AD5=""),1,IF(AND(AG5="",AD5=AA5),1,IF(AND(AG5="",AD5&lt;&gt;AA5),2,IF(AND(AG5=AD5,AD5=AA5),1,IF(AND(AG5=AD5,AD5&lt;&gt;AA5),2,IF(AND(AD5=AA5,AD5&lt;&gt;AG5),2,IF(AND(AA5=AG5,AA5&lt;&gt;AD5),2,IF(AND(AA5&lt;&gt;AD5,AD5&lt;&gt;AG5),3,"Verificar"))))))))),"-")</f>
        <v>3</v>
      </c>
      <c r="AM5" s="51" t="str">
        <f>IFERROR(IF(AND(AG5="",AD5=""),IF(AND(VLOOKUP(TEXT(AA5,"@"),$T$5:$V$14,2,FALSE)&lt;=22.5,
VLOOKUP(TEXT(AA5,"@"),$T$5:$V$14,3,FALSE)&lt;=22.5),Z5*2,Z5),
IF(AG5="",IF(AND(VLOOKUP(TEXT(AA5,"@"),$T$5:$V$14,2,FALSE)&lt;=22.5,
VLOOKUP(TEXT(AA5,"@"),$T$5:$V$14,3,FALSE)&lt;=22.5),Z5*2,Z5)+IF(AND(VLOOKUP(TEXT(AD5,"@"),$T$5:$V$14,2,FALSE)&lt;=22.5,
VLOOKUP(TEXT(AD5,"@"),$T$5:$V$14,3,0)&lt;=22.5),AC5*2,AC5),
IF(AND(VLOOKUP(TEXT(AA5,"@"),$T$5:$V$14,2,FALSE)&lt;=22.5,
VLOOKUP(TEXT(AA5,"@"),$T$5:$V$14,3,FALSE)&lt;=22.5),Z5*2,Z5)+IF(AND(VLOOKUP(TEXT(AD5,"@"),$T$5:$V$14,2,FALSE)&lt;=22.5,
VLOOKUP(TEXT(AD5,"@"),$T$5:$V$14,3,0)&lt;=22.5),AC5*2,AC5)+IF(AND(VLOOKUP(TEXT(AG5,"@"),$T$5:$V$14,2,FALSE)&lt;=22.5,
VLOOKUP(TEXT(AG5,"@"),$T$5:$V$14,3,FALSE)&lt;=22.5),
AF5*2,AF5))),"-")</f>
        <v>-</v>
      </c>
      <c r="AN5" s="21"/>
      <c r="AO5" s="52" t="s">
        <v>40</v>
      </c>
      <c r="AP5" s="53"/>
      <c r="AQ5" s="53">
        <f>D11</f>
        <v>1</v>
      </c>
      <c r="AT5" s="38" t="s">
        <v>41</v>
      </c>
      <c r="AU5" s="418"/>
      <c r="AV5" s="419"/>
      <c r="AW5" s="419"/>
      <c r="AX5" s="420"/>
      <c r="AY5" s="421"/>
      <c r="AZ5" s="421"/>
      <c r="BA5" s="421"/>
      <c r="BB5" s="421"/>
      <c r="CS5" s="3"/>
      <c r="CT5" s="54" t="s">
        <v>42</v>
      </c>
      <c r="CU5" s="426">
        <v>31360</v>
      </c>
      <c r="CV5" s="427"/>
      <c r="CW5" s="9"/>
      <c r="CX5" s="54" t="s">
        <v>42</v>
      </c>
      <c r="CY5" s="426" t="e">
        <f>PRODUCT(CY2:CZ4)</f>
        <v>#N/A</v>
      </c>
      <c r="CZ5" s="427"/>
      <c r="DA5" s="3"/>
      <c r="DJ5" s="41" t="s">
        <v>43</v>
      </c>
      <c r="DK5" s="55">
        <v>15000</v>
      </c>
      <c r="DL5" s="40"/>
      <c r="DM5" s="56">
        <v>44355.643425925926</v>
      </c>
      <c r="DN5" s="57" t="s">
        <v>44</v>
      </c>
      <c r="DO5" s="58">
        <v>44354.544166666667</v>
      </c>
      <c r="DP5" s="59">
        <v>15000</v>
      </c>
      <c r="FE5" s="60"/>
      <c r="FF5" s="60"/>
      <c r="FG5" s="60"/>
      <c r="FH5" s="60"/>
      <c r="FI5" s="60"/>
    </row>
    <row r="6" spans="2:165" ht="21.95" customHeight="1" x14ac:dyDescent="0.25">
      <c r="B6" s="10"/>
      <c r="C6" s="444"/>
      <c r="D6" s="445"/>
      <c r="E6" s="446"/>
      <c r="F6" s="27"/>
      <c r="G6" s="28"/>
      <c r="H6" s="29"/>
      <c r="K6" s="30" t="s">
        <v>45</v>
      </c>
      <c r="L6" s="31"/>
      <c r="N6" s="14"/>
      <c r="S6" s="45" t="s">
        <v>46</v>
      </c>
      <c r="T6" s="46" t="str">
        <f t="shared" si="0"/>
        <v>356</v>
      </c>
      <c r="U6" s="47" t="str">
        <f t="shared" si="0"/>
        <v>17,73+16,9</v>
      </c>
      <c r="V6" s="47">
        <f t="shared" si="0"/>
        <v>13.58</v>
      </c>
      <c r="W6" s="47" t="e">
        <f t="shared" ref="W6:W14" si="10">U6*V6</f>
        <v>#VALUE!</v>
      </c>
      <c r="X6" s="48"/>
      <c r="Y6" s="45" t="s">
        <v>46</v>
      </c>
      <c r="Z6" s="49">
        <f t="shared" ref="Z6:Z14" si="11">IFERROR(IF(VLOOKUP($Y6,$C$45:$M$54,2,0)=0,"",VLOOKUP($Y6,$C$45:$M$54,2,0)),"")</f>
        <v>3</v>
      </c>
      <c r="AA6" s="49">
        <f t="shared" si="1"/>
        <v>334</v>
      </c>
      <c r="AB6" s="49" t="str">
        <f t="shared" si="2"/>
        <v>L</v>
      </c>
      <c r="AC6" s="49">
        <f t="shared" si="3"/>
        <v>5</v>
      </c>
      <c r="AD6" s="49">
        <f t="shared" si="4"/>
        <v>394</v>
      </c>
      <c r="AE6" s="49" t="str">
        <f t="shared" si="5"/>
        <v>L</v>
      </c>
      <c r="AF6" s="49" t="str">
        <f t="shared" si="6"/>
        <v/>
      </c>
      <c r="AG6" s="49" t="str">
        <f t="shared" si="7"/>
        <v/>
      </c>
      <c r="AH6" s="49" t="str">
        <f t="shared" si="8"/>
        <v/>
      </c>
      <c r="AI6" s="49" t="str">
        <f t="shared" si="9"/>
        <v>142,4</v>
      </c>
      <c r="AJ6" s="50">
        <f t="shared" ref="AJ6:AJ14" si="12">IFERROR((SUM(AC6,Z6,AF6)*$AQ$6),0)</f>
        <v>0</v>
      </c>
      <c r="AK6" s="50" t="e">
        <f>IF(AND(AC6="",AF6=""),"-",IF(AND(AC6&lt;&gt;"",AF6=""),IF(AD6&lt;&gt;AA6,AC6*$AQ$6*$AQ$5,"-"),IF(AG6&lt;&gt;AA6,AF6*$AQ$6*$AQ$5,IF(AND(AC6&lt;&gt;"",AF6&lt;&gt;""),IF(AND(AD6&lt;&gt;AA6,AG6&lt;&gt;AA6),SUM(AF6,AC6)*$AQ$6*$AQ$5,"-"),"-"))))</f>
        <v>#N/A</v>
      </c>
      <c r="AL6" s="51">
        <f t="shared" ref="AL6:AL14" si="13">IFERROR(IF(AND(AA6="",AD6="",AG6=""),"-",IF(AND(AG6="",AD6=""),1,IF(AND(AG6="",AD6=AA6),1,IF(AND(AG6="",AD6&lt;&gt;AA6),2,IF(AND(AG6=AD6,AD6=AA6),1,IF(AND(AG6=AD6,AD6&lt;&gt;AA6),2,IF(AND(AD6=AA6,AD6&lt;&gt;AG6),2,IF(AND(AA6=AG6,AA6&lt;&gt;AD6),2,IF(AND(AA6&lt;&gt;AD6,AD6&lt;&gt;AG6),3,"Verificar"))))))))),"-")</f>
        <v>2</v>
      </c>
      <c r="AM6" s="51" t="str">
        <f t="shared" ref="AM6:AM14" si="14">IFERROR(IF(AND(AG6="",AD6=""),IF(AND(VLOOKUP(TEXT(AA6,"@"),$T$5:$V$14,2,FALSE)&lt;=22.5,VLOOKUP(TEXT(AA6,"@"),$T$5:$V$14,3,FALSE)&lt;=22.5),Z6*2,Z6),IF(AG6="",IF(AND(VLOOKUP(TEXT(AA6,"@"),$T$5:$V$14,2,FALSE)&lt;=22.5,VLOOKUP(TEXT(AA6,"@"),$T$5:$V$14,3,FALSE)&lt;=22.5),Z6*2,Z6)+IF(AND(VLOOKUP(TEXT(AD6,"@"),$T$5:$V$14,2,FALSE)&lt;=22.5,VLOOKUP(TEXT(AD6,"@"),$T$5:$V$14,3,0)&lt;=22.5),AC6*2,AC6),IF(AND(VLOOKUP(TEXT(AA6,"@"),$T$5:$V$14,2,FALSE)&lt;=22.5,VLOOKUP(TEXT(AA6,"@"),$T$5:$V$14,3,FALSE)&lt;=22.5),Z6*2,Z6)+IF(AND(VLOOKUP(TEXT(AD6,"@"),$T$5:$V$14,2,FALSE)&lt;=22.5,VLOOKUP(TEXT(AD6,"@"),$T$5:$V$14,3,0)&lt;=22.5),AC6*2,AC6)+IF(AND(VLOOKUP(TEXT(AG6,"@"),$T$5:$V$14,2,FALSE)&lt;=22.5,VLOOKUP(TEXT(AG6,"@"),$T$5:$V$14,3,FALSE)&lt;=22.5),AF6*2,AF6))),"-")</f>
        <v>-</v>
      </c>
      <c r="AN6" s="21"/>
      <c r="AO6" s="52" t="s">
        <v>47</v>
      </c>
      <c r="AP6" s="61"/>
      <c r="AQ6" s="53" t="e">
        <f>IF(DK11=0,LEFT(H18,2)*1,IF((LEFT(H18,2)*1)&lt;=DK11,LEFT(H18,2)*1,DK11))</f>
        <v>#N/A</v>
      </c>
      <c r="AR6" s="62"/>
      <c r="AT6" s="38" t="s">
        <v>48</v>
      </c>
      <c r="AU6" s="428"/>
      <c r="AV6" s="429"/>
      <c r="AW6" s="429"/>
      <c r="AX6" s="430"/>
      <c r="AY6" s="421"/>
      <c r="AZ6" s="421"/>
      <c r="BA6" s="421"/>
      <c r="BB6" s="421"/>
      <c r="CS6" s="3"/>
      <c r="CT6" s="3"/>
      <c r="CU6" s="3"/>
      <c r="CV6" s="3"/>
      <c r="CW6" s="3"/>
      <c r="CX6" s="3"/>
      <c r="CY6" s="3"/>
      <c r="CZ6" s="3"/>
      <c r="DA6" s="3"/>
      <c r="DJ6" s="41" t="s">
        <v>49</v>
      </c>
      <c r="DK6" s="63">
        <v>4</v>
      </c>
      <c r="DL6" s="40"/>
      <c r="DM6" s="56"/>
      <c r="DN6" s="57"/>
      <c r="DO6" s="58"/>
      <c r="DP6" s="59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0"/>
      <c r="FF6" s="60"/>
      <c r="FG6" s="60"/>
      <c r="FH6" s="60"/>
      <c r="FI6" s="60"/>
    </row>
    <row r="7" spans="2:165" ht="21.95" customHeight="1" thickBot="1" x14ac:dyDescent="0.3">
      <c r="B7" s="10"/>
      <c r="C7" s="444"/>
      <c r="D7" s="445"/>
      <c r="E7" s="446"/>
      <c r="F7" s="43"/>
      <c r="G7" s="65" t="s">
        <v>50</v>
      </c>
      <c r="H7" s="66"/>
      <c r="N7" s="14"/>
      <c r="S7" s="45" t="s">
        <v>51</v>
      </c>
      <c r="T7" s="46" t="str">
        <f t="shared" si="0"/>
        <v>378</v>
      </c>
      <c r="U7" s="47" t="str">
        <f t="shared" si="0"/>
        <v>18,33+17,44</v>
      </c>
      <c r="V7" s="47">
        <f t="shared" si="0"/>
        <v>14.28</v>
      </c>
      <c r="W7" s="47" t="e">
        <f t="shared" si="10"/>
        <v>#VALUE!</v>
      </c>
      <c r="X7" s="48"/>
      <c r="Y7" s="45" t="s">
        <v>51</v>
      </c>
      <c r="Z7" s="49">
        <f t="shared" si="11"/>
        <v>2</v>
      </c>
      <c r="AA7" s="49">
        <f t="shared" si="1"/>
        <v>394</v>
      </c>
      <c r="AB7" s="49" t="str">
        <f t="shared" si="2"/>
        <v>L</v>
      </c>
      <c r="AC7" s="49">
        <f t="shared" si="3"/>
        <v>6</v>
      </c>
      <c r="AD7" s="49">
        <f t="shared" si="4"/>
        <v>378</v>
      </c>
      <c r="AE7" s="49" t="str">
        <f t="shared" si="5"/>
        <v>L</v>
      </c>
      <c r="AF7" s="49" t="str">
        <f t="shared" si="6"/>
        <v/>
      </c>
      <c r="AG7" s="49" t="str">
        <f t="shared" si="7"/>
        <v/>
      </c>
      <c r="AH7" s="49" t="str">
        <f t="shared" si="8"/>
        <v/>
      </c>
      <c r="AI7" s="49" t="str">
        <f t="shared" si="9"/>
        <v>142,8</v>
      </c>
      <c r="AJ7" s="50">
        <f t="shared" si="12"/>
        <v>0</v>
      </c>
      <c r="AK7" s="50" t="e">
        <f>IF(AND(AC7="",AF7=""),"-",IF(AND(AC7&lt;&gt;"",AF7=""),IF(AD7&lt;&gt;AA7,AC7*$AQ$6*$AQ$5,"-"),IF(AG7&lt;&gt;AA7,AF7*$AQ$6*$AQ$5,IF(AND(AC7&lt;&gt;"",AF7&lt;&gt;""),IF(AND(AD7&lt;&gt;AA7,AG7&lt;&gt;AA7),SUM(AF7,AC7)*$AQ$6*$AQ$5,"-"),"-"))))</f>
        <v>#N/A</v>
      </c>
      <c r="AL7" s="51">
        <f t="shared" si="13"/>
        <v>2</v>
      </c>
      <c r="AM7" s="51" t="str">
        <f t="shared" si="14"/>
        <v>-</v>
      </c>
      <c r="AN7" s="21"/>
      <c r="AO7" s="413" t="s">
        <v>52</v>
      </c>
      <c r="AP7" s="413"/>
      <c r="AQ7" s="413"/>
      <c r="AT7" s="67"/>
      <c r="AU7" s="67"/>
      <c r="AV7" s="67"/>
      <c r="AW7" s="67"/>
      <c r="AX7" s="68"/>
      <c r="AY7" s="421"/>
      <c r="AZ7" s="421"/>
      <c r="BA7" s="421"/>
      <c r="BB7" s="421"/>
      <c r="CS7" s="3"/>
      <c r="CT7" s="3"/>
      <c r="CU7" s="3"/>
      <c r="CV7" s="3"/>
      <c r="CW7" s="3"/>
      <c r="CX7" s="3"/>
      <c r="CY7" s="3"/>
      <c r="CZ7" s="3"/>
      <c r="DA7" s="3"/>
      <c r="DJ7" s="41" t="s">
        <v>53</v>
      </c>
      <c r="DK7" s="63">
        <v>4</v>
      </c>
      <c r="DL7" s="40"/>
      <c r="DM7" s="56"/>
      <c r="DN7" s="57"/>
      <c r="DO7" s="58"/>
      <c r="DP7" s="59"/>
      <c r="EU7" s="64"/>
      <c r="EV7" s="64"/>
      <c r="EW7" s="64"/>
      <c r="EX7" s="64"/>
      <c r="EY7" s="64"/>
      <c r="EZ7" s="64"/>
      <c r="FA7" s="64"/>
      <c r="FB7" s="64"/>
      <c r="FC7" s="64"/>
      <c r="FD7" s="64"/>
      <c r="FE7" s="60"/>
      <c r="FF7" s="60">
        <f>139/34.75</f>
        <v>4</v>
      </c>
      <c r="FG7" s="60"/>
      <c r="FH7" s="60"/>
      <c r="FI7" s="60">
        <f>139/37</f>
        <v>3.7567567567567566</v>
      </c>
    </row>
    <row r="8" spans="2:165" ht="11.25" customHeight="1" thickBot="1" x14ac:dyDescent="0.3">
      <c r="B8" s="10"/>
      <c r="C8" s="69"/>
      <c r="D8" s="70"/>
      <c r="E8" s="71"/>
      <c r="F8" s="70"/>
      <c r="G8" s="72" t="s">
        <v>54</v>
      </c>
      <c r="H8" s="73">
        <f>DK12</f>
        <v>44354.544166666667</v>
      </c>
      <c r="I8" s="70"/>
      <c r="J8" s="74"/>
      <c r="K8" s="75"/>
      <c r="L8" s="414"/>
      <c r="M8" s="414"/>
      <c r="N8" s="14"/>
      <c r="S8" s="45" t="s">
        <v>55</v>
      </c>
      <c r="T8" s="46" t="str">
        <f t="shared" si="0"/>
        <v>394</v>
      </c>
      <c r="U8" s="47">
        <f>IF(L30="","",L30)</f>
        <v>14.94</v>
      </c>
      <c r="V8" s="47" t="e">
        <f>IF(#REF!="","",#REF!)</f>
        <v>#REF!</v>
      </c>
      <c r="W8" s="47" t="e">
        <f t="shared" si="10"/>
        <v>#REF!</v>
      </c>
      <c r="X8" s="48"/>
      <c r="Y8" s="45" t="s">
        <v>55</v>
      </c>
      <c r="Z8" s="49">
        <f t="shared" si="11"/>
        <v>8</v>
      </c>
      <c r="AA8" s="49">
        <f t="shared" si="1"/>
        <v>378</v>
      </c>
      <c r="AB8" s="49" t="str">
        <f t="shared" si="2"/>
        <v>L</v>
      </c>
      <c r="AC8" s="49" t="str">
        <f t="shared" si="3"/>
        <v/>
      </c>
      <c r="AD8" s="49" t="str">
        <f t="shared" si="4"/>
        <v/>
      </c>
      <c r="AE8" s="49" t="str">
        <f t="shared" si="5"/>
        <v/>
      </c>
      <c r="AF8" s="49" t="str">
        <f t="shared" si="6"/>
        <v/>
      </c>
      <c r="AG8" s="49" t="str">
        <f t="shared" si="7"/>
        <v/>
      </c>
      <c r="AH8" s="49" t="str">
        <f t="shared" si="8"/>
        <v/>
      </c>
      <c r="AI8" s="49" t="str">
        <f t="shared" si="9"/>
        <v>141,4</v>
      </c>
      <c r="AJ8" s="50">
        <f t="shared" si="12"/>
        <v>0</v>
      </c>
      <c r="AK8" s="50" t="str">
        <f t="shared" ref="AK8:AK14" si="15">IF(AND(AC8="",AF8=""),"-",IF(AND(AC8&lt;&gt;"",AF8=""),IF(AD8&lt;&gt;AA8,AC8*$AQ$6*$AQ$5,"-"),IF(AG8&lt;&gt;AA8,AF8*$AQ$6*$AQ$5,IF(AND(AC8&lt;&gt;"",AF8&lt;&gt;""),IF(AND(AD8&lt;&gt;AA8,AG8&lt;&gt;AA8),SUM(AF8,AC8)*$AQ$6*$AQ$5,"-"),"-"))))</f>
        <v>-</v>
      </c>
      <c r="AL8" s="51">
        <f t="shared" si="13"/>
        <v>1</v>
      </c>
      <c r="AM8" s="51">
        <f t="shared" si="14"/>
        <v>8</v>
      </c>
      <c r="AN8" s="21"/>
      <c r="AO8" s="76" t="s">
        <v>56</v>
      </c>
      <c r="AP8" s="77" t="e">
        <f>IF(MAX(W5:W14)&lt;200,"X","")</f>
        <v>#VALUE!</v>
      </c>
      <c r="AQ8" s="78">
        <v>5.5</v>
      </c>
      <c r="AT8" s="24" t="s">
        <v>57</v>
      </c>
      <c r="AU8" s="25"/>
      <c r="AV8" s="25"/>
      <c r="AW8" s="25"/>
      <c r="AX8" s="25"/>
      <c r="AY8" s="421"/>
      <c r="AZ8" s="421"/>
      <c r="BA8" s="421"/>
      <c r="BB8" s="421"/>
      <c r="CS8" s="415" t="s">
        <v>58</v>
      </c>
      <c r="CT8" s="416"/>
      <c r="CU8" s="416"/>
      <c r="CV8" s="416"/>
      <c r="CW8" s="416"/>
      <c r="CX8" s="416"/>
      <c r="CY8" s="416"/>
      <c r="CZ8" s="416"/>
      <c r="DA8" s="417"/>
      <c r="DE8" s="1" t="s">
        <v>59</v>
      </c>
      <c r="DF8" s="1" t="s">
        <v>60</v>
      </c>
      <c r="DJ8" s="41" t="s">
        <v>61</v>
      </c>
      <c r="DK8" s="63">
        <f>DK5/DK6/DK7</f>
        <v>937.5</v>
      </c>
      <c r="DL8" s="40"/>
      <c r="DM8" s="56"/>
      <c r="DN8" s="57"/>
      <c r="DO8" s="58"/>
      <c r="DP8" s="59"/>
      <c r="EU8" s="64"/>
      <c r="EV8" s="64"/>
      <c r="EW8" s="64"/>
      <c r="EX8" s="64"/>
      <c r="EY8" s="64"/>
      <c r="EZ8" s="64"/>
      <c r="FA8" s="64"/>
      <c r="FB8" s="64"/>
      <c r="FC8" s="64"/>
      <c r="FD8" s="64"/>
      <c r="FE8" s="60"/>
      <c r="FF8" s="60">
        <f>100/17.6</f>
        <v>5.6818181818181817</v>
      </c>
      <c r="FG8" s="60"/>
      <c r="FH8" s="60"/>
      <c r="FI8" s="60">
        <f>100/19</f>
        <v>5.2631578947368425</v>
      </c>
    </row>
    <row r="9" spans="2:165" ht="16.5" thickBot="1" x14ac:dyDescent="0.3">
      <c r="B9" s="10"/>
      <c r="C9" s="79" t="s">
        <v>62</v>
      </c>
      <c r="D9" s="80" t="s">
        <v>63</v>
      </c>
      <c r="E9" s="80" t="s">
        <v>64</v>
      </c>
      <c r="F9" s="362" t="s">
        <v>65</v>
      </c>
      <c r="G9" s="364"/>
      <c r="H9" s="362" t="s">
        <v>66</v>
      </c>
      <c r="I9" s="363"/>
      <c r="J9" s="364"/>
      <c r="K9" s="362" t="s">
        <v>67</v>
      </c>
      <c r="L9" s="363"/>
      <c r="M9" s="364"/>
      <c r="N9" s="14"/>
      <c r="S9" s="45" t="s">
        <v>68</v>
      </c>
      <c r="T9" s="46" t="str">
        <f t="shared" si="0"/>
        <v/>
      </c>
      <c r="U9" s="47" t="str">
        <f t="shared" si="0"/>
        <v/>
      </c>
      <c r="V9" s="47" t="str">
        <f t="shared" si="0"/>
        <v/>
      </c>
      <c r="W9" s="47" t="e">
        <f t="shared" si="10"/>
        <v>#VALUE!</v>
      </c>
      <c r="X9" s="48"/>
      <c r="Y9" s="45" t="s">
        <v>68</v>
      </c>
      <c r="Z9" s="49" t="str">
        <f t="shared" si="11"/>
        <v/>
      </c>
      <c r="AA9" s="49" t="str">
        <f t="shared" si="1"/>
        <v/>
      </c>
      <c r="AB9" s="49" t="str">
        <f t="shared" si="2"/>
        <v/>
      </c>
      <c r="AC9" s="49" t="str">
        <f t="shared" si="3"/>
        <v/>
      </c>
      <c r="AD9" s="49" t="str">
        <f t="shared" si="4"/>
        <v/>
      </c>
      <c r="AE9" s="49" t="str">
        <f t="shared" si="5"/>
        <v/>
      </c>
      <c r="AF9" s="49" t="str">
        <f t="shared" si="6"/>
        <v/>
      </c>
      <c r="AG9" s="49" t="str">
        <f t="shared" si="7"/>
        <v/>
      </c>
      <c r="AH9" s="49" t="str">
        <f t="shared" si="8"/>
        <v/>
      </c>
      <c r="AI9" s="49" t="str">
        <f t="shared" si="9"/>
        <v/>
      </c>
      <c r="AJ9" s="50">
        <f t="shared" si="12"/>
        <v>0</v>
      </c>
      <c r="AK9" s="50" t="str">
        <f t="shared" si="15"/>
        <v>-</v>
      </c>
      <c r="AL9" s="51" t="str">
        <f t="shared" si="13"/>
        <v>-</v>
      </c>
      <c r="AM9" s="51" t="str">
        <f t="shared" si="14"/>
        <v/>
      </c>
      <c r="AN9" s="21"/>
      <c r="AO9" s="76" t="s">
        <v>69</v>
      </c>
      <c r="AP9" s="81" t="e">
        <f>IF(MAX(W5:W14)&gt;=200,"X","")</f>
        <v>#VALUE!</v>
      </c>
      <c r="AQ9" s="78">
        <v>7</v>
      </c>
      <c r="AT9" s="38" t="s">
        <v>70</v>
      </c>
      <c r="AU9" s="418"/>
      <c r="AV9" s="419"/>
      <c r="AW9" s="419"/>
      <c r="AX9" s="420"/>
      <c r="AY9" s="421"/>
      <c r="AZ9" s="421"/>
      <c r="BA9" s="421"/>
      <c r="BB9" s="421"/>
      <c r="CS9" s="3"/>
      <c r="CT9" s="3"/>
      <c r="CU9" s="3"/>
      <c r="CV9" s="3"/>
      <c r="CW9" s="3"/>
      <c r="CX9" s="3"/>
      <c r="CY9" s="3"/>
      <c r="CZ9" s="3"/>
      <c r="DA9" s="3"/>
      <c r="DD9" s="82" t="s">
        <v>71</v>
      </c>
      <c r="DE9" s="346">
        <v>12500</v>
      </c>
      <c r="DF9" s="346"/>
      <c r="DJ9" s="41" t="s">
        <v>72</v>
      </c>
      <c r="DK9" s="55">
        <f>AVERAGEIF(F11:F21,"&lt;&gt;0")</f>
        <v>56.682500000000005</v>
      </c>
      <c r="DL9" s="40"/>
      <c r="DM9" s="56"/>
      <c r="DN9" s="57"/>
      <c r="DO9" s="58"/>
      <c r="DP9" s="59"/>
      <c r="EU9" s="64"/>
      <c r="EV9" s="64"/>
      <c r="EW9" s="64"/>
      <c r="EX9" s="64"/>
      <c r="EY9" s="64"/>
      <c r="EZ9" s="64"/>
      <c r="FA9" s="64"/>
      <c r="FB9" s="64"/>
      <c r="FC9" s="64"/>
      <c r="FD9" s="64"/>
      <c r="FE9" s="60"/>
      <c r="FF9" s="60">
        <f>FF7*FF8*0.89</f>
        <v>20.227272727272727</v>
      </c>
      <c r="FG9" s="60"/>
      <c r="FH9" s="60"/>
      <c r="FI9" s="60">
        <f>FI7*FI8*0.9</f>
        <v>17.795163584637269</v>
      </c>
    </row>
    <row r="10" spans="2:165" ht="14.25" customHeight="1" thickBot="1" x14ac:dyDescent="0.3">
      <c r="B10" s="10"/>
      <c r="C10" s="84"/>
      <c r="D10" s="85"/>
      <c r="E10" s="86"/>
      <c r="F10" s="87"/>
      <c r="G10" s="88"/>
      <c r="H10" s="89"/>
      <c r="I10" s="90"/>
      <c r="J10" s="90"/>
      <c r="K10" s="5"/>
      <c r="L10" s="91"/>
      <c r="M10" s="88"/>
      <c r="N10" s="14"/>
      <c r="P10" s="1">
        <v>1</v>
      </c>
      <c r="S10" s="45" t="s">
        <v>73</v>
      </c>
      <c r="T10" s="46" t="str">
        <f t="shared" si="0"/>
        <v/>
      </c>
      <c r="U10" s="47" t="str">
        <f t="shared" si="0"/>
        <v/>
      </c>
      <c r="V10" s="47" t="str">
        <f t="shared" si="0"/>
        <v/>
      </c>
      <c r="W10" s="47" t="e">
        <f t="shared" si="10"/>
        <v>#VALUE!</v>
      </c>
      <c r="X10" s="48"/>
      <c r="Y10" s="45" t="s">
        <v>73</v>
      </c>
      <c r="Z10" s="49" t="str">
        <f t="shared" si="11"/>
        <v/>
      </c>
      <c r="AA10" s="49" t="str">
        <f t="shared" si="1"/>
        <v/>
      </c>
      <c r="AB10" s="49" t="str">
        <f t="shared" si="2"/>
        <v/>
      </c>
      <c r="AC10" s="49" t="str">
        <f t="shared" si="3"/>
        <v/>
      </c>
      <c r="AD10" s="49" t="str">
        <f t="shared" si="4"/>
        <v/>
      </c>
      <c r="AE10" s="49" t="str">
        <f t="shared" si="5"/>
        <v/>
      </c>
      <c r="AF10" s="49" t="str">
        <f t="shared" si="6"/>
        <v/>
      </c>
      <c r="AG10" s="49" t="str">
        <f t="shared" si="7"/>
        <v/>
      </c>
      <c r="AH10" s="49" t="str">
        <f t="shared" si="8"/>
        <v/>
      </c>
      <c r="AI10" s="49" t="str">
        <f t="shared" si="9"/>
        <v/>
      </c>
      <c r="AJ10" s="50">
        <f t="shared" si="12"/>
        <v>0</v>
      </c>
      <c r="AK10" s="50" t="str">
        <f t="shared" si="15"/>
        <v>-</v>
      </c>
      <c r="AL10" s="51" t="str">
        <f t="shared" si="13"/>
        <v>-</v>
      </c>
      <c r="AM10" s="51" t="str">
        <f t="shared" si="14"/>
        <v/>
      </c>
      <c r="AN10" s="21"/>
      <c r="AO10" s="21"/>
      <c r="AP10" s="21"/>
      <c r="AQ10" s="21"/>
      <c r="AT10" s="38" t="s">
        <v>74</v>
      </c>
      <c r="AU10" s="431" t="s">
        <v>75</v>
      </c>
      <c r="AV10" s="432"/>
      <c r="AW10" s="432"/>
      <c r="AX10" s="433"/>
      <c r="AY10" s="421"/>
      <c r="AZ10" s="421"/>
      <c r="BA10" s="421"/>
      <c r="BB10" s="421"/>
      <c r="CS10" s="399" t="s">
        <v>76</v>
      </c>
      <c r="CT10" s="399"/>
      <c r="CU10" s="399"/>
      <c r="CV10" s="399"/>
      <c r="CW10" s="3"/>
      <c r="CX10" s="399" t="s">
        <v>77</v>
      </c>
      <c r="CY10" s="399"/>
      <c r="CZ10" s="399"/>
      <c r="DA10" s="399"/>
      <c r="DD10" s="82" t="s">
        <v>78</v>
      </c>
      <c r="DE10" s="92">
        <f>CT16</f>
        <v>0</v>
      </c>
      <c r="DF10" s="92">
        <f>CY16</f>
        <v>0</v>
      </c>
      <c r="DJ10" s="41" t="s">
        <v>79</v>
      </c>
      <c r="DK10" s="55" t="e">
        <f>VLOOKUP(LINGUETA!H14,LINGUETA!$BD$70:$BE$9985,2,0)</f>
        <v>#N/A</v>
      </c>
      <c r="DL10" s="40"/>
      <c r="DM10" s="56"/>
      <c r="DN10" s="57"/>
      <c r="DO10" s="57"/>
      <c r="DP10" s="59"/>
      <c r="EU10" s="64"/>
      <c r="EV10" s="64"/>
      <c r="EW10" s="64"/>
      <c r="EX10" s="64"/>
      <c r="EY10" s="64"/>
      <c r="EZ10" s="64"/>
      <c r="FA10" s="64"/>
      <c r="FB10" s="64"/>
      <c r="FC10" s="64"/>
      <c r="FD10" s="64"/>
      <c r="FE10" s="60"/>
      <c r="FF10" s="60"/>
      <c r="FG10" s="60"/>
      <c r="FH10" s="60"/>
      <c r="FI10" s="60"/>
    </row>
    <row r="11" spans="2:165" ht="15" customHeight="1" x14ac:dyDescent="0.25">
      <c r="B11" s="10"/>
      <c r="C11" s="93" t="s">
        <v>80</v>
      </c>
      <c r="D11" s="94">
        <v>1</v>
      </c>
      <c r="E11" s="94">
        <v>8</v>
      </c>
      <c r="F11" s="95">
        <v>62.65</v>
      </c>
      <c r="G11" s="96">
        <f>F11*0.93</f>
        <v>58.264500000000005</v>
      </c>
      <c r="H11" s="400" t="s">
        <v>287</v>
      </c>
      <c r="I11" s="401"/>
      <c r="J11" s="401"/>
      <c r="K11" s="404" t="s">
        <v>83</v>
      </c>
      <c r="L11" s="405"/>
      <c r="M11" s="406"/>
      <c r="N11" s="14"/>
      <c r="P11" s="1">
        <v>1</v>
      </c>
      <c r="S11" s="45" t="s">
        <v>84</v>
      </c>
      <c r="T11" s="46" t="str">
        <f t="shared" si="0"/>
        <v>SEM LADO</v>
      </c>
      <c r="U11" s="47" t="str">
        <f t="shared" si="0"/>
        <v/>
      </c>
      <c r="V11" s="47" t="str">
        <f t="shared" si="0"/>
        <v/>
      </c>
      <c r="W11" s="47" t="e">
        <f t="shared" si="10"/>
        <v>#VALUE!</v>
      </c>
      <c r="X11" s="48"/>
      <c r="Y11" s="45" t="s">
        <v>84</v>
      </c>
      <c r="Z11" s="49" t="str">
        <f t="shared" si="11"/>
        <v/>
      </c>
      <c r="AA11" s="49" t="str">
        <f t="shared" si="1"/>
        <v/>
      </c>
      <c r="AB11" s="49" t="str">
        <f t="shared" si="2"/>
        <v/>
      </c>
      <c r="AC11" s="49" t="str">
        <f t="shared" si="3"/>
        <v/>
      </c>
      <c r="AD11" s="49" t="str">
        <f t="shared" si="4"/>
        <v/>
      </c>
      <c r="AE11" s="49" t="str">
        <f t="shared" si="5"/>
        <v/>
      </c>
      <c r="AF11" s="49" t="str">
        <f t="shared" si="6"/>
        <v/>
      </c>
      <c r="AG11" s="49" t="str">
        <f t="shared" si="7"/>
        <v/>
      </c>
      <c r="AH11" s="49" t="str">
        <f t="shared" si="8"/>
        <v/>
      </c>
      <c r="AI11" s="49" t="str">
        <f t="shared" si="9"/>
        <v/>
      </c>
      <c r="AJ11" s="50">
        <f t="shared" si="12"/>
        <v>0</v>
      </c>
      <c r="AK11" s="50" t="str">
        <f t="shared" si="15"/>
        <v>-</v>
      </c>
      <c r="AL11" s="51" t="str">
        <f t="shared" si="13"/>
        <v>-</v>
      </c>
      <c r="AM11" s="51" t="str">
        <f t="shared" si="14"/>
        <v/>
      </c>
      <c r="AN11" s="21"/>
      <c r="AO11" s="34" t="s">
        <v>85</v>
      </c>
      <c r="AP11" s="34" t="s">
        <v>86</v>
      </c>
      <c r="AQ11" s="34" t="s">
        <v>23</v>
      </c>
      <c r="AT11" s="97"/>
      <c r="AU11" s="98"/>
      <c r="AV11" s="99"/>
      <c r="AW11" s="99"/>
      <c r="AX11" s="99"/>
      <c r="AY11" s="99"/>
      <c r="AZ11" s="99"/>
      <c r="BA11" s="99"/>
      <c r="BB11" s="99"/>
      <c r="CS11" s="410" t="s">
        <v>87</v>
      </c>
      <c r="CT11" s="411"/>
      <c r="CU11" s="411"/>
      <c r="CV11" s="412"/>
      <c r="CW11" s="100"/>
      <c r="CX11" s="410" t="s">
        <v>88</v>
      </c>
      <c r="CY11" s="411"/>
      <c r="CZ11" s="411"/>
      <c r="DA11" s="412"/>
      <c r="DD11" s="82" t="s">
        <v>89</v>
      </c>
      <c r="DE11" s="393">
        <f>$D$11</f>
        <v>1</v>
      </c>
      <c r="DF11" s="393"/>
      <c r="DJ11" s="41" t="s">
        <v>90</v>
      </c>
      <c r="DK11" s="101" t="e">
        <f>ROUNDUP(DK8/DK9/DK10,0)</f>
        <v>#N/A</v>
      </c>
      <c r="DL11" s="40"/>
      <c r="DM11" s="56"/>
      <c r="DN11" s="57"/>
      <c r="DO11" s="57"/>
      <c r="DP11" s="59"/>
      <c r="EU11" s="64"/>
      <c r="EV11" s="64"/>
      <c r="EW11" s="64"/>
      <c r="EX11" s="64"/>
      <c r="EY11" s="64"/>
      <c r="EZ11" s="64"/>
      <c r="FA11" s="64"/>
      <c r="FB11" s="64"/>
      <c r="FC11" s="64"/>
      <c r="FE11" s="60"/>
      <c r="FF11" s="60"/>
      <c r="FG11" s="60"/>
      <c r="FH11" s="60"/>
      <c r="FI11" s="60"/>
    </row>
    <row r="12" spans="2:165" ht="15" customHeight="1" thickBot="1" x14ac:dyDescent="0.3">
      <c r="B12" s="10"/>
      <c r="C12" s="93" t="s">
        <v>288</v>
      </c>
      <c r="D12" s="94">
        <v>1</v>
      </c>
      <c r="E12" s="94">
        <v>41</v>
      </c>
      <c r="F12" s="95">
        <v>57.81</v>
      </c>
      <c r="G12" s="96">
        <f>F12*0.93</f>
        <v>53.763300000000008</v>
      </c>
      <c r="H12" s="402"/>
      <c r="I12" s="403"/>
      <c r="J12" s="403"/>
      <c r="K12" s="407"/>
      <c r="L12" s="408"/>
      <c r="M12" s="409"/>
      <c r="N12" s="14"/>
      <c r="P12" s="1">
        <v>1</v>
      </c>
      <c r="S12" s="45" t="s">
        <v>92</v>
      </c>
      <c r="T12" s="46" t="str">
        <f t="shared" si="0"/>
        <v>qtd batidas nav 1</v>
      </c>
      <c r="U12" s="47" t="str">
        <f t="shared" si="0"/>
        <v>qtd batidas nav 2</v>
      </c>
      <c r="V12" s="47" t="str">
        <f t="shared" si="0"/>
        <v/>
      </c>
      <c r="W12" s="47" t="e">
        <f t="shared" si="10"/>
        <v>#VALUE!</v>
      </c>
      <c r="X12" s="21"/>
      <c r="Y12" s="45" t="s">
        <v>92</v>
      </c>
      <c r="Z12" s="49" t="str">
        <f t="shared" si="11"/>
        <v/>
      </c>
      <c r="AA12" s="49" t="str">
        <f t="shared" si="1"/>
        <v/>
      </c>
      <c r="AB12" s="49" t="str">
        <f t="shared" si="2"/>
        <v/>
      </c>
      <c r="AC12" s="49" t="str">
        <f t="shared" si="3"/>
        <v/>
      </c>
      <c r="AD12" s="49" t="str">
        <f t="shared" si="4"/>
        <v/>
      </c>
      <c r="AE12" s="49" t="str">
        <f t="shared" si="5"/>
        <v/>
      </c>
      <c r="AF12" s="49" t="str">
        <f t="shared" si="6"/>
        <v/>
      </c>
      <c r="AG12" s="49" t="str">
        <f t="shared" si="7"/>
        <v/>
      </c>
      <c r="AH12" s="49" t="str">
        <f t="shared" si="8"/>
        <v/>
      </c>
      <c r="AI12" s="49" t="str">
        <f t="shared" si="9"/>
        <v/>
      </c>
      <c r="AJ12" s="50">
        <f t="shared" si="12"/>
        <v>0</v>
      </c>
      <c r="AK12" s="50" t="str">
        <f t="shared" si="15"/>
        <v>-</v>
      </c>
      <c r="AL12" s="51" t="str">
        <f t="shared" si="13"/>
        <v>-</v>
      </c>
      <c r="AM12" s="51" t="str">
        <f t="shared" si="14"/>
        <v/>
      </c>
      <c r="AN12" s="21"/>
      <c r="AO12" s="102" t="s">
        <v>93</v>
      </c>
      <c r="AP12" s="103">
        <f>COUNTIF(AL:AL,1)</f>
        <v>1</v>
      </c>
      <c r="AQ12" s="104">
        <f>IFERROR((SUMIF(AL:AL,1,AM:AM))/AP12,"")</f>
        <v>8</v>
      </c>
      <c r="AT12" s="105" t="s">
        <v>94</v>
      </c>
      <c r="AU12" s="106"/>
      <c r="AV12" s="106"/>
      <c r="AW12" s="106"/>
      <c r="AX12" s="106"/>
      <c r="AY12" s="106"/>
      <c r="AZ12" s="106"/>
      <c r="BA12" s="106"/>
      <c r="BB12" s="107"/>
      <c r="CS12" s="108" t="s">
        <v>2</v>
      </c>
      <c r="CT12" s="394">
        <f>TRUNC(CU2/CY2,0)</f>
        <v>8</v>
      </c>
      <c r="CU12" s="394"/>
      <c r="CV12" s="395"/>
      <c r="CW12" s="3"/>
      <c r="CX12" s="108" t="s">
        <v>2</v>
      </c>
      <c r="CY12" s="394">
        <f>TRUNC(CU3/CY2,0)</f>
        <v>14</v>
      </c>
      <c r="CZ12" s="394"/>
      <c r="DA12" s="395"/>
      <c r="DD12" s="82" t="s">
        <v>95</v>
      </c>
      <c r="DE12" s="346">
        <f>$CY$2*$CY$3</f>
        <v>59.76</v>
      </c>
      <c r="DF12" s="346"/>
      <c r="DJ12" s="109" t="s">
        <v>35</v>
      </c>
      <c r="DK12" s="56">
        <v>44354.544166666667</v>
      </c>
      <c r="DL12" s="40"/>
      <c r="DM12" s="56"/>
      <c r="DN12" s="57"/>
      <c r="DO12" s="57"/>
      <c r="DP12" s="59"/>
      <c r="ET12" s="2"/>
      <c r="EU12" s="64"/>
      <c r="EV12" s="64"/>
      <c r="EW12" s="64"/>
      <c r="EX12" s="64"/>
      <c r="EY12" s="64"/>
      <c r="EZ12" s="64"/>
      <c r="FA12" s="64"/>
      <c r="FB12" s="64"/>
      <c r="FC12" s="64"/>
      <c r="FD12" s="110"/>
    </row>
    <row r="13" spans="2:165" ht="15" customHeight="1" thickBot="1" x14ac:dyDescent="0.3">
      <c r="B13" s="10"/>
      <c r="C13" s="93" t="s">
        <v>289</v>
      </c>
      <c r="D13" s="94">
        <v>1</v>
      </c>
      <c r="E13" s="94">
        <v>39</v>
      </c>
      <c r="F13" s="95">
        <v>55.12</v>
      </c>
      <c r="G13" s="96">
        <f>F13*0.93</f>
        <v>51.261600000000001</v>
      </c>
      <c r="H13" s="362" t="s">
        <v>97</v>
      </c>
      <c r="I13" s="363"/>
      <c r="J13" s="363"/>
      <c r="K13" s="363"/>
      <c r="L13" s="363"/>
      <c r="M13" s="364"/>
      <c r="N13" s="14"/>
      <c r="P13" s="1">
        <v>1</v>
      </c>
      <c r="S13" s="45" t="s">
        <v>98</v>
      </c>
      <c r="T13" s="46">
        <f t="shared" si="0"/>
        <v>4</v>
      </c>
      <c r="U13" s="47">
        <f t="shared" si="0"/>
        <v>4</v>
      </c>
      <c r="V13" s="47" t="str">
        <f t="shared" si="0"/>
        <v/>
      </c>
      <c r="W13" s="47" t="e">
        <f t="shared" si="10"/>
        <v>#VALUE!</v>
      </c>
      <c r="X13" s="21"/>
      <c r="Y13" s="45" t="s">
        <v>98</v>
      </c>
      <c r="Z13" s="49" t="str">
        <f t="shared" si="11"/>
        <v/>
      </c>
      <c r="AA13" s="49" t="str">
        <f t="shared" si="1"/>
        <v/>
      </c>
      <c r="AB13" s="49" t="str">
        <f t="shared" si="2"/>
        <v/>
      </c>
      <c r="AC13" s="49" t="str">
        <f t="shared" si="3"/>
        <v/>
      </c>
      <c r="AD13" s="49" t="str">
        <f t="shared" si="4"/>
        <v/>
      </c>
      <c r="AE13" s="49" t="str">
        <f t="shared" si="5"/>
        <v/>
      </c>
      <c r="AF13" s="49" t="str">
        <f t="shared" si="6"/>
        <v/>
      </c>
      <c r="AG13" s="49" t="str">
        <f t="shared" si="7"/>
        <v/>
      </c>
      <c r="AH13" s="49" t="str">
        <f t="shared" si="8"/>
        <v/>
      </c>
      <c r="AI13" s="49" t="str">
        <f t="shared" si="9"/>
        <v/>
      </c>
      <c r="AJ13" s="50">
        <f t="shared" si="12"/>
        <v>0</v>
      </c>
      <c r="AK13" s="50" t="str">
        <f t="shared" si="15"/>
        <v>-</v>
      </c>
      <c r="AL13" s="51" t="str">
        <f t="shared" si="13"/>
        <v>-</v>
      </c>
      <c r="AM13" s="51" t="str">
        <f t="shared" si="14"/>
        <v/>
      </c>
      <c r="AN13" s="21"/>
      <c r="AO13" s="102" t="s">
        <v>99</v>
      </c>
      <c r="AP13" s="103">
        <f>COUNTIF(AL:AL,2)</f>
        <v>2</v>
      </c>
      <c r="AQ13" s="104">
        <f>IFERROR((SUMIF(AL:AL,2,AM:AM))/AP13,"")</f>
        <v>0</v>
      </c>
      <c r="AT13" s="111"/>
      <c r="AU13" s="99"/>
      <c r="AV13" s="99"/>
      <c r="AW13" s="112"/>
      <c r="AX13" s="112"/>
      <c r="AY13" s="112"/>
      <c r="AZ13" s="99"/>
      <c r="BA13" s="99"/>
      <c r="BB13" s="113"/>
      <c r="BD13" s="391" t="s">
        <v>100</v>
      </c>
      <c r="BE13" s="391"/>
      <c r="BF13" s="391"/>
      <c r="BG13" s="391"/>
      <c r="BH13" s="391"/>
      <c r="BI13" s="391"/>
      <c r="BJ13" s="391"/>
      <c r="BK13" s="391"/>
      <c r="BL13" s="391"/>
      <c r="BX13" s="392" t="s">
        <v>101</v>
      </c>
      <c r="BY13" s="392"/>
      <c r="BZ13" s="392"/>
      <c r="CA13" s="392"/>
      <c r="CB13" s="392"/>
      <c r="CC13" s="392"/>
      <c r="CD13" s="392"/>
      <c r="CE13" s="392"/>
      <c r="CF13" s="392"/>
      <c r="CS13" s="108" t="s">
        <v>102</v>
      </c>
      <c r="CT13" s="396">
        <f>TRUNC(CU3/CY3,0)</f>
        <v>3</v>
      </c>
      <c r="CU13" s="396"/>
      <c r="CV13" s="397"/>
      <c r="CW13" s="3"/>
      <c r="CX13" s="108" t="s">
        <v>102</v>
      </c>
      <c r="CY13" s="396">
        <f>TRUNC(CU2/CY3,0)</f>
        <v>2</v>
      </c>
      <c r="CZ13" s="396"/>
      <c r="DA13" s="397"/>
      <c r="DD13" s="114" t="s">
        <v>103</v>
      </c>
      <c r="DE13" s="398" t="e">
        <f>(VLOOKUP($H$14,$BD$72:$BG$447,3,FALSE)*DE12)</f>
        <v>#N/A</v>
      </c>
      <c r="DF13" s="398"/>
      <c r="DJ13" s="40"/>
      <c r="DK13" s="40"/>
      <c r="DL13" s="40"/>
      <c r="DM13" s="56"/>
      <c r="DN13" s="57"/>
      <c r="DO13" s="57"/>
      <c r="DP13" s="59"/>
      <c r="EU13" s="64"/>
      <c r="EV13" s="64"/>
      <c r="EW13" s="64"/>
      <c r="EX13" s="64"/>
      <c r="EY13" s="64"/>
      <c r="EZ13" s="64"/>
      <c r="FA13" s="64"/>
      <c r="FB13" s="64"/>
      <c r="FC13" s="64"/>
      <c r="FD13" s="64"/>
    </row>
    <row r="14" spans="2:165" ht="15" customHeight="1" x14ac:dyDescent="0.25">
      <c r="B14" s="10"/>
      <c r="C14" s="93" t="s">
        <v>290</v>
      </c>
      <c r="D14" s="94">
        <v>1</v>
      </c>
      <c r="E14" s="94">
        <v>12</v>
      </c>
      <c r="F14" s="95">
        <v>51.15</v>
      </c>
      <c r="G14" s="96">
        <f>F14*0.93</f>
        <v>47.569499999999998</v>
      </c>
      <c r="H14" s="376" t="s">
        <v>291</v>
      </c>
      <c r="I14" s="377"/>
      <c r="J14" s="377"/>
      <c r="K14" s="377"/>
      <c r="L14" s="377"/>
      <c r="M14" s="378"/>
      <c r="N14" s="14"/>
      <c r="P14" s="1">
        <v>1</v>
      </c>
      <c r="S14" s="45" t="s">
        <v>106</v>
      </c>
      <c r="T14" s="46" t="str">
        <f t="shared" si="0"/>
        <v/>
      </c>
      <c r="U14" s="47" t="str">
        <f t="shared" si="0"/>
        <v/>
      </c>
      <c r="V14" s="47" t="str">
        <f t="shared" si="0"/>
        <v/>
      </c>
      <c r="W14" s="47" t="e">
        <f t="shared" si="10"/>
        <v>#VALUE!</v>
      </c>
      <c r="X14" s="21"/>
      <c r="Y14" s="45" t="s">
        <v>106</v>
      </c>
      <c r="Z14" s="49" t="str">
        <f t="shared" si="11"/>
        <v/>
      </c>
      <c r="AA14" s="49" t="str">
        <f t="shared" si="1"/>
        <v/>
      </c>
      <c r="AB14" s="49" t="str">
        <f t="shared" si="2"/>
        <v/>
      </c>
      <c r="AC14" s="49" t="str">
        <f t="shared" si="3"/>
        <v/>
      </c>
      <c r="AD14" s="49" t="str">
        <f t="shared" si="4"/>
        <v/>
      </c>
      <c r="AE14" s="49" t="str">
        <f t="shared" si="5"/>
        <v/>
      </c>
      <c r="AF14" s="49" t="str">
        <f t="shared" si="6"/>
        <v/>
      </c>
      <c r="AG14" s="49" t="str">
        <f t="shared" si="7"/>
        <v/>
      </c>
      <c r="AH14" s="49" t="str">
        <f t="shared" si="8"/>
        <v/>
      </c>
      <c r="AI14" s="49" t="str">
        <f t="shared" si="9"/>
        <v/>
      </c>
      <c r="AJ14" s="50">
        <f t="shared" si="12"/>
        <v>0</v>
      </c>
      <c r="AK14" s="50" t="str">
        <f t="shared" si="15"/>
        <v>-</v>
      </c>
      <c r="AL14" s="51" t="str">
        <f t="shared" si="13"/>
        <v>-</v>
      </c>
      <c r="AM14" s="51" t="str">
        <f t="shared" si="14"/>
        <v/>
      </c>
      <c r="AN14" s="21"/>
      <c r="AO14" s="102" t="s">
        <v>107</v>
      </c>
      <c r="AP14" s="103">
        <f>COUNTIF(AL:AL,3)</f>
        <v>1</v>
      </c>
      <c r="AQ14" s="104">
        <f>IFERROR((SUMIF(AL:AL,3,AM:AM))/AP14,"")</f>
        <v>0</v>
      </c>
      <c r="AT14" s="385" t="s">
        <v>108</v>
      </c>
      <c r="AU14" s="386"/>
      <c r="AV14" s="386"/>
      <c r="AW14" s="386"/>
      <c r="AX14" s="386"/>
      <c r="AY14" s="387"/>
      <c r="AZ14" s="115">
        <v>1</v>
      </c>
      <c r="BA14" s="115">
        <v>2</v>
      </c>
      <c r="BB14" s="115">
        <v>3</v>
      </c>
      <c r="BD14" s="388" t="s">
        <v>109</v>
      </c>
      <c r="BE14" s="389"/>
      <c r="BF14" s="389"/>
      <c r="BG14" s="389"/>
      <c r="BH14" s="389"/>
      <c r="BI14" s="390"/>
      <c r="BJ14" s="116" t="e">
        <f>IF(AZ16="","",IF((SUM(AZ28:AZ35)-AZ33-AZ30)&lt;=0,"",(SUM(AZ28:AZ35)-AZ33-AZ30)*1.1))</f>
        <v>#N/A</v>
      </c>
      <c r="BK14" s="116" t="e">
        <f>IF(BA16="","",IF((SUM(BA28:BA35)-BA33-BA30)&lt;=0,"",(SUM(BA28:BA35)-BA33-BA30)*1.1))</f>
        <v>#N/A</v>
      </c>
      <c r="BL14" s="116" t="e">
        <f>IF(BB16="","",IF((SUM(BB28:BB35)-BB33-BB30)&lt;=0,"",(SUM(BB28:BB35)-BB33-BB30)*1.1))</f>
        <v>#N/A</v>
      </c>
      <c r="BN14" s="391" t="s">
        <v>100</v>
      </c>
      <c r="BO14" s="391"/>
      <c r="BP14" s="391"/>
      <c r="BQ14" s="391"/>
      <c r="BR14" s="391"/>
      <c r="BS14" s="391"/>
      <c r="BT14" s="391"/>
      <c r="BU14" s="391"/>
      <c r="BV14" s="391"/>
      <c r="BX14" s="388" t="s">
        <v>109</v>
      </c>
      <c r="BY14" s="389"/>
      <c r="BZ14" s="389"/>
      <c r="CA14" s="389"/>
      <c r="CB14" s="389"/>
      <c r="CC14" s="390"/>
      <c r="CD14" s="116" t="e">
        <f>IF(AZ16="","",IF((SUM(AZ28:AZ35)-AZ29-AZ32)&lt;=0,"",(SUM(AZ28:AZ35)-AZ29-AZ32)*1.1))</f>
        <v>#N/A</v>
      </c>
      <c r="CE14" s="116" t="e">
        <f>IF(BA16="","",IF((SUM(BA28:BA35)-BA29-BA32)&lt;=0,"",(SUM(BA28:BA35)-BA29-BA32)*1.1))</f>
        <v>#N/A</v>
      </c>
      <c r="CF14" s="116" t="e">
        <f>IF(BB16="","",IF((SUM(BB28:BB35)-BB29-BB32)&lt;=0,"",(SUM(BB28:BB35)-BB29-BB32)*1.1))</f>
        <v>#N/A</v>
      </c>
      <c r="CH14" s="392" t="s">
        <v>101</v>
      </c>
      <c r="CI14" s="392"/>
      <c r="CJ14" s="392"/>
      <c r="CK14" s="392"/>
      <c r="CL14" s="392"/>
      <c r="CM14" s="392"/>
      <c r="CN14" s="392"/>
      <c r="CO14" s="392"/>
      <c r="CP14" s="392"/>
      <c r="CS14" s="117" t="s">
        <v>110</v>
      </c>
      <c r="CT14" s="368">
        <f>IF(CT12=0,"Não é possível calcular",IF(CT13=0,"Não é possível calcular",PRODUCT(CT12:CV13)))</f>
        <v>24</v>
      </c>
      <c r="CU14" s="369"/>
      <c r="CV14" s="370"/>
      <c r="CW14" s="3"/>
      <c r="CX14" s="117" t="s">
        <v>110</v>
      </c>
      <c r="CY14" s="368">
        <f>IF(CY12=0,"Não é possível calcular",IF(CY13=0,"Não é possível calcular",PRODUCT(CY12:DA13)))</f>
        <v>28</v>
      </c>
      <c r="CZ14" s="369"/>
      <c r="DA14" s="370"/>
      <c r="DD14" s="114" t="s">
        <v>111</v>
      </c>
      <c r="DE14" s="82" t="e">
        <f>$DE$10*$DE$13</f>
        <v>#N/A</v>
      </c>
      <c r="DF14" s="82" t="e">
        <f>DF10*DE13</f>
        <v>#N/A</v>
      </c>
      <c r="DJ14" s="347" t="s">
        <v>112</v>
      </c>
      <c r="DK14" s="347"/>
      <c r="DL14" s="40"/>
      <c r="DM14" s="56"/>
      <c r="DN14" s="57"/>
      <c r="DO14" s="57"/>
      <c r="DP14" s="59"/>
      <c r="EU14" s="64"/>
      <c r="EV14" s="64"/>
      <c r="EW14" s="64"/>
      <c r="EX14" s="64"/>
      <c r="EY14" s="64"/>
      <c r="EZ14" s="64"/>
      <c r="FA14" s="64"/>
      <c r="FB14" s="64"/>
      <c r="FC14" s="64"/>
      <c r="FD14" s="64"/>
    </row>
    <row r="15" spans="2:165" ht="15" customHeight="1" thickBot="1" x14ac:dyDescent="0.3">
      <c r="B15" s="10"/>
      <c r="C15" s="93"/>
      <c r="D15" s="94"/>
      <c r="E15" s="94"/>
      <c r="F15" s="95">
        <v>0</v>
      </c>
      <c r="G15" s="96"/>
      <c r="H15" s="379"/>
      <c r="I15" s="380"/>
      <c r="J15" s="380"/>
      <c r="K15" s="380"/>
      <c r="L15" s="380"/>
      <c r="M15" s="381"/>
      <c r="N15" s="14"/>
      <c r="P15" s="1">
        <v>1</v>
      </c>
      <c r="S15" s="21"/>
      <c r="T15" s="118" t="s">
        <v>114</v>
      </c>
      <c r="U15" s="118">
        <f>IF(U5="","",LARGE(U5:U14,1))</f>
        <v>14.94</v>
      </c>
      <c r="V15" s="118" t="e">
        <f>IF(V5="","",LARGE(V5:V14,1))</f>
        <v>#REF!</v>
      </c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118" t="s">
        <v>115</v>
      </c>
      <c r="AK15" s="118" t="e">
        <f>AVERAGE(AK5:AK14)</f>
        <v>#N/A</v>
      </c>
      <c r="AL15" s="119"/>
      <c r="AM15" s="119"/>
      <c r="AN15" s="21"/>
      <c r="AO15" s="120" t="s">
        <v>116</v>
      </c>
      <c r="AP15" s="120" t="s">
        <v>117</v>
      </c>
      <c r="AQ15" s="120" t="s">
        <v>118</v>
      </c>
      <c r="AT15" s="111"/>
      <c r="AU15" s="99"/>
      <c r="AV15" s="99"/>
      <c r="AW15" s="99"/>
      <c r="AX15" s="99"/>
      <c r="AY15" s="99"/>
      <c r="AZ15" s="99"/>
      <c r="BA15" s="112"/>
      <c r="BB15" s="121"/>
      <c r="BD15" s="365" t="s">
        <v>119</v>
      </c>
      <c r="BE15" s="366"/>
      <c r="BF15" s="366"/>
      <c r="BG15" s="366"/>
      <c r="BH15" s="366"/>
      <c r="BI15" s="367"/>
      <c r="BJ15" s="122" t="e">
        <f>IF(AZ16="","",IF(BJ14="","",3600/BJ14))</f>
        <v>#N/A</v>
      </c>
      <c r="BK15" s="122" t="e">
        <f>IF(BA16="","",IF(BK14="","",3600/BK14))</f>
        <v>#N/A</v>
      </c>
      <c r="BL15" s="122" t="e">
        <f>IF(BB16="","",IF(BL14="","",3600/BL14))</f>
        <v>#N/A</v>
      </c>
      <c r="BN15" s="371" t="s">
        <v>120</v>
      </c>
      <c r="BO15" s="371"/>
      <c r="BP15" s="371"/>
      <c r="BQ15" s="371"/>
      <c r="BR15" s="371"/>
      <c r="BS15" s="371"/>
      <c r="BT15" s="371"/>
      <c r="BU15" s="371"/>
      <c r="BV15" s="123" t="e">
        <f>IF(AND(AZ16="",BA16="",BB16=""),"",IF(AND(BJ15="",BK15="",BL15=""),"",IF(AND(BJ15&lt;&gt;"",BK15="",BL15=""),(BJ15*BV18)/BV21,IF(AND(BJ15&lt;&gt;"",BK15&lt;&gt;"",BL15=""),((BJ15*BV18)+(BK15*BV19))/BV21,IF(AND(BJ15="",BL15="",BK15&lt;&gt;""),(BK15*BV19)/BV21,IF(AND(BK15="",BJ15="",BL15&lt;&gt;""),(BL15*BV20)/BV21,IF(AND(BL15&lt;&gt;"",BK15&lt;&gt;"",BJ15=""),((BL15*BV20)+(BK15*BV19))/BV21,IF(AND(BJ15&lt;&gt;"",BL15&lt;&gt;"",BK15=""),((BL15*BV20)+(BJ15*BV18))/BV21,((BJ15*BV18)+(BK15*BV19)+(BL15*BV20))/BV21))))))))</f>
        <v>#N/A</v>
      </c>
      <c r="BX15" s="365" t="s">
        <v>119</v>
      </c>
      <c r="BY15" s="366"/>
      <c r="BZ15" s="366"/>
      <c r="CA15" s="366"/>
      <c r="CB15" s="366"/>
      <c r="CC15" s="367"/>
      <c r="CD15" s="122" t="e">
        <f>IF(AZ16="","",IF(CD14="","",3600/CD14))</f>
        <v>#N/A</v>
      </c>
      <c r="CE15" s="122" t="e">
        <f>IF(BA16="","",IF(CE14="","",3600/CE14))</f>
        <v>#N/A</v>
      </c>
      <c r="CF15" s="122" t="e">
        <f>IF(BB16="","",IF(CF14="","",3600/CF14))</f>
        <v>#N/A</v>
      </c>
      <c r="CH15" s="371" t="s">
        <v>120</v>
      </c>
      <c r="CI15" s="371"/>
      <c r="CJ15" s="371"/>
      <c r="CK15" s="371"/>
      <c r="CL15" s="371"/>
      <c r="CM15" s="371"/>
      <c r="CN15" s="371"/>
      <c r="CO15" s="371"/>
      <c r="CP15" s="123" t="e">
        <f>IF(AND(AZ16="",BA16="",BB16=""),"",IF(AND(CD15="",CE15="",CF15=""),"",IF(AND(CD15&lt;&gt;"",CE15="",CF15=""),(CD15*CP18)/CP21,IF(AND(CD15&lt;&gt;"",CE15&lt;&gt;"",CF15=""),((CD15*CP18)+(CE15*CP19))/CP21,IF(AND(CD15="",CF15="",CE15&lt;&gt;""),(CE15*CP19)/CP21,IF(AND(CE15="",CD15="",CF15&lt;&gt;""),(CF15*CP20)/CP21,IF(AND(CF15&lt;&gt;"",CE15&lt;&gt;"",CD15=""),((CF15*CP20)+(CE15*CP19))/CP21,IF(AND(CD15&lt;&gt;"",CF15&lt;&gt;"",CE15=""),((CF15*CP20)+(CD15*CP18))/CP21,((CD15*CP18)+(CE15*CP19)+(CF15*CP20))/CP21))))))))</f>
        <v>#N/A</v>
      </c>
      <c r="CS15" s="124" t="s">
        <v>31</v>
      </c>
      <c r="CT15" s="372" t="e">
        <f>TRUNC(CU4/CY4,0)</f>
        <v>#N/A</v>
      </c>
      <c r="CU15" s="372"/>
      <c r="CV15" s="373"/>
      <c r="CW15" s="3"/>
      <c r="CX15" s="124" t="s">
        <v>31</v>
      </c>
      <c r="CY15" s="372" t="e">
        <f>TRUNC(CU4/CY4,0)</f>
        <v>#N/A</v>
      </c>
      <c r="CZ15" s="372"/>
      <c r="DA15" s="373"/>
      <c r="DD15" s="114" t="s">
        <v>121</v>
      </c>
      <c r="DE15" s="125" t="e">
        <f>DE14/1000</f>
        <v>#N/A</v>
      </c>
      <c r="DF15" s="125" t="e">
        <f>DF14/1000</f>
        <v>#N/A</v>
      </c>
      <c r="DJ15" s="374" t="str">
        <f>H18</f>
        <v>2 FOLHAS BIDIM PARA CIMA</v>
      </c>
      <c r="DK15" s="375"/>
      <c r="DL15" s="40"/>
      <c r="DM15" s="56"/>
      <c r="DN15" s="57"/>
      <c r="DO15" s="57"/>
      <c r="DP15" s="59"/>
      <c r="EU15" s="64"/>
      <c r="EV15" s="64"/>
      <c r="EW15" s="64"/>
      <c r="EX15" s="64"/>
      <c r="EY15" s="64"/>
      <c r="EZ15" s="64"/>
      <c r="FA15" s="64"/>
      <c r="FB15" s="64"/>
      <c r="FC15" s="64"/>
      <c r="FD15" s="64"/>
    </row>
    <row r="16" spans="2:165" ht="15" customHeight="1" thickBot="1" x14ac:dyDescent="0.3">
      <c r="B16" s="10"/>
      <c r="C16" s="93"/>
      <c r="D16" s="94"/>
      <c r="E16" s="94"/>
      <c r="F16" s="95">
        <v>0</v>
      </c>
      <c r="G16" s="145" t="s">
        <v>141</v>
      </c>
      <c r="H16" s="382"/>
      <c r="I16" s="383"/>
      <c r="J16" s="383"/>
      <c r="K16" s="383"/>
      <c r="L16" s="383"/>
      <c r="M16" s="384"/>
      <c r="N16" s="14"/>
      <c r="P16" s="1">
        <v>1</v>
      </c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119"/>
      <c r="AM16" s="119"/>
      <c r="AN16" s="21"/>
      <c r="AO16" s="126">
        <v>90</v>
      </c>
      <c r="AP16" s="127">
        <f>AVERAGEIF(F11:F21,"&lt;&gt;0")</f>
        <v>56.682500000000005</v>
      </c>
      <c r="AQ16" s="128" t="e">
        <f>VLOOKUP(H14,BD73:BG447,2,FALSE)</f>
        <v>#N/A</v>
      </c>
      <c r="AT16" s="313" t="s">
        <v>123</v>
      </c>
      <c r="AU16" s="314"/>
      <c r="AV16" s="314"/>
      <c r="AW16" s="314"/>
      <c r="AX16" s="314"/>
      <c r="AY16" s="315"/>
      <c r="AZ16" s="132" t="e">
        <f>IF(COUNTIF($AL:$AL,AZ14)&gt;0,$AQ$6,"")</f>
        <v>#N/A</v>
      </c>
      <c r="BA16" s="132" t="e">
        <f>IF(COUNTIF($AL:$AL,BA14)&gt;0,$AQ$6,"")</f>
        <v>#N/A</v>
      </c>
      <c r="BB16" s="132" t="e">
        <f>IF(COUNTIF($AL:$AL,BB14)&gt;0,$AQ$6,"")</f>
        <v>#N/A</v>
      </c>
      <c r="BD16" s="365" t="s">
        <v>124</v>
      </c>
      <c r="BE16" s="366"/>
      <c r="BF16" s="366"/>
      <c r="BG16" s="366"/>
      <c r="BH16" s="366"/>
      <c r="BI16" s="367"/>
      <c r="BJ16" s="133" t="e">
        <f>IF(AZ16="","",IF(BJ15="","",BJ15/AZ17))</f>
        <v>#N/A</v>
      </c>
      <c r="BK16" s="133" t="e">
        <f>IF(BA16="","",IF(BK15="","",BK15/BA17))</f>
        <v>#N/A</v>
      </c>
      <c r="BL16" s="133" t="e">
        <f>IF(BB16="","",IF(BL15="","",BL15/BB17))</f>
        <v>#N/A</v>
      </c>
      <c r="BN16" s="339" t="s">
        <v>125</v>
      </c>
      <c r="BO16" s="339"/>
      <c r="BP16" s="339"/>
      <c r="BQ16" s="339"/>
      <c r="BR16" s="339"/>
      <c r="BS16" s="339"/>
      <c r="BT16" s="339"/>
      <c r="BU16" s="339"/>
      <c r="BV16" s="123" t="e">
        <f>IF(AND(AZ16="",BA16="",BB16=""),"",IF(AZ16&lt;&gt;"",BV15/AZ16/AZ17,IF(BA16&lt;&gt;"",BV15/BA16/BA17,IF(BB16&lt;&gt;"",BV15/BB16/BB17))))</f>
        <v>#N/A</v>
      </c>
      <c r="BX16" s="365" t="s">
        <v>124</v>
      </c>
      <c r="BY16" s="366"/>
      <c r="BZ16" s="366"/>
      <c r="CA16" s="366"/>
      <c r="CB16" s="366"/>
      <c r="CC16" s="367"/>
      <c r="CD16" s="133" t="e">
        <f>IF(AZ16="","",IF(CD15="","",CD15/AZ17))</f>
        <v>#N/A</v>
      </c>
      <c r="CE16" s="133" t="e">
        <f>IF(BA16="","",IF(CE15="","",CE15/BA17))</f>
        <v>#N/A</v>
      </c>
      <c r="CF16" s="133" t="e">
        <f>IF(BB16="","",IF(CF15="","",CF15/BB17))</f>
        <v>#N/A</v>
      </c>
      <c r="CH16" s="339" t="s">
        <v>125</v>
      </c>
      <c r="CI16" s="339"/>
      <c r="CJ16" s="339"/>
      <c r="CK16" s="339"/>
      <c r="CL16" s="339"/>
      <c r="CM16" s="339"/>
      <c r="CN16" s="339"/>
      <c r="CO16" s="339"/>
      <c r="CP16" s="123" t="e">
        <f>IF(AND(AZ16="",BA16="",BB16=""),"",IF(AZ16&lt;&gt;"",CP15/AZ16/AZ17,IF(BA16&lt;&gt;"",CP15/BA16/BA17,IF(BB16&lt;&gt;"",CP15/BB16/BB17))))</f>
        <v>#N/A</v>
      </c>
      <c r="CS16" s="134" t="s">
        <v>126</v>
      </c>
      <c r="CT16" s="359">
        <f>IFERROR(PRODUCT(CT14*CT15),0)</f>
        <v>0</v>
      </c>
      <c r="CU16" s="360"/>
      <c r="CV16" s="361"/>
      <c r="CW16" s="3"/>
      <c r="CX16" s="135" t="s">
        <v>126</v>
      </c>
      <c r="CY16" s="359">
        <f>IFERROR(PRODUCT(CY14*CY15),0)</f>
        <v>0</v>
      </c>
      <c r="CZ16" s="360"/>
      <c r="DA16" s="361"/>
      <c r="DD16" s="114" t="s">
        <v>127</v>
      </c>
      <c r="DE16" s="346" t="e">
        <f>TRUNC(DE9/DE13,0)</f>
        <v>#N/A</v>
      </c>
      <c r="DF16" s="346"/>
      <c r="DJ16" s="40"/>
      <c r="DK16" s="40"/>
      <c r="DL16" s="40"/>
      <c r="DM16" s="56"/>
      <c r="DN16" s="57"/>
      <c r="DO16" s="57"/>
      <c r="DP16" s="59"/>
      <c r="EU16" s="64"/>
      <c r="EV16" s="64"/>
      <c r="EW16" s="64"/>
      <c r="EX16" s="64"/>
      <c r="EY16" s="64"/>
      <c r="EZ16" s="64"/>
      <c r="FA16" s="64"/>
      <c r="FB16" s="64"/>
      <c r="FC16" s="64"/>
      <c r="FD16" s="64"/>
    </row>
    <row r="17" spans="2:160" ht="15" customHeight="1" thickBot="1" x14ac:dyDescent="0.3">
      <c r="B17" s="10"/>
      <c r="C17" s="93"/>
      <c r="D17" s="94"/>
      <c r="E17" s="94"/>
      <c r="F17" s="95">
        <v>0</v>
      </c>
      <c r="G17" s="96"/>
      <c r="H17" s="362" t="s">
        <v>129</v>
      </c>
      <c r="I17" s="363"/>
      <c r="J17" s="363"/>
      <c r="K17" s="363"/>
      <c r="L17" s="363"/>
      <c r="M17" s="364"/>
      <c r="N17" s="14"/>
      <c r="P17" s="1">
        <v>1</v>
      </c>
      <c r="S17" s="136" t="s">
        <v>130</v>
      </c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119"/>
      <c r="AM17" s="119"/>
      <c r="AN17" s="21"/>
      <c r="AO17" s="357" t="s">
        <v>116</v>
      </c>
      <c r="AP17" s="358"/>
      <c r="AQ17" s="127" t="e">
        <f>(AO16*AQ6)/(AP16*AQ16*AQ6)</f>
        <v>#N/A</v>
      </c>
      <c r="AT17" s="313" t="s">
        <v>131</v>
      </c>
      <c r="AU17" s="314"/>
      <c r="AV17" s="314"/>
      <c r="AW17" s="314"/>
      <c r="AX17" s="314"/>
      <c r="AY17" s="315"/>
      <c r="AZ17" s="137">
        <f>IF(COUNTIF($AL:$AL,AZ14)&gt;0,$AQ$5,"")</f>
        <v>1</v>
      </c>
      <c r="BA17" s="137">
        <f>IF(COUNTIF($AL:$AL,BA14)&gt;0,$AQ$5,"")</f>
        <v>1</v>
      </c>
      <c r="BB17" s="137">
        <f>IF(COUNTIF($AL:$AL,BB14)&gt;0,$AQ$5,"")</f>
        <v>1</v>
      </c>
      <c r="BD17" s="365" t="s">
        <v>132</v>
      </c>
      <c r="BE17" s="366"/>
      <c r="BF17" s="366"/>
      <c r="BG17" s="366"/>
      <c r="BH17" s="366"/>
      <c r="BI17" s="367"/>
      <c r="BJ17" s="122" t="e">
        <f>IF(AZ16="","",IF(BJ15="","",BJ15/AZ16/AZ17))</f>
        <v>#N/A</v>
      </c>
      <c r="BK17" s="122" t="e">
        <f>IF(BA16="","",IF(BK15="","",BK15/BA16/BA17))</f>
        <v>#N/A</v>
      </c>
      <c r="BL17" s="122" t="e">
        <f>IF(BB16="","",IF(BL15="","",BL15/BB16/BB17))</f>
        <v>#N/A</v>
      </c>
      <c r="BN17" s="339" t="s">
        <v>133</v>
      </c>
      <c r="BO17" s="339"/>
      <c r="BP17" s="339"/>
      <c r="BQ17" s="339"/>
      <c r="BR17" s="339"/>
      <c r="BS17" s="339"/>
      <c r="BT17" s="339"/>
      <c r="BU17" s="339"/>
      <c r="BV17" s="138" t="e">
        <f>IF(AND(AZ16="",BA16="",BB16=""),"",IF(AZ16&lt;&gt;"",3600/BV15*AZ16*AZ17,IF(BA16&lt;&gt;"",3600/BV15*BA16*BA17,IF(BB16&lt;&gt;"",3600/BV15*BB16*BB17))))</f>
        <v>#N/A</v>
      </c>
      <c r="BX17" s="365" t="s">
        <v>132</v>
      </c>
      <c r="BY17" s="366"/>
      <c r="BZ17" s="366"/>
      <c r="CA17" s="366"/>
      <c r="CB17" s="366"/>
      <c r="CC17" s="367"/>
      <c r="CD17" s="122" t="e">
        <f>IF(AZ16="","",IF(CD15="","",CD15/AZ16/AZ17))</f>
        <v>#N/A</v>
      </c>
      <c r="CE17" s="122" t="e">
        <f>IF(BA16="","",IF(CE15="","",CE15/BA16/BA17))</f>
        <v>#N/A</v>
      </c>
      <c r="CF17" s="122" t="e">
        <f>IF(BB16="","",IF(CF15="","",CF15/BB16/BB17))</f>
        <v>#N/A</v>
      </c>
      <c r="CH17" s="339" t="s">
        <v>133</v>
      </c>
      <c r="CI17" s="339"/>
      <c r="CJ17" s="339"/>
      <c r="CK17" s="339"/>
      <c r="CL17" s="339"/>
      <c r="CM17" s="339"/>
      <c r="CN17" s="339"/>
      <c r="CO17" s="339"/>
      <c r="CP17" s="138" t="e">
        <f>IF(AND(AZ16="",BA16="",BB16=""),"",IF(AZ16&lt;&gt;"",3600/CP15*AZ16*AZ17,IF(BA16&lt;&gt;"",3600/CP15*BA16*BA17,IF(BB16&lt;&gt;"",3600/CP15*BB16*BB17))))</f>
        <v>#N/A</v>
      </c>
      <c r="CS17" s="139"/>
      <c r="CT17" s="140"/>
      <c r="CU17" s="140"/>
      <c r="CV17" s="140"/>
      <c r="CW17" s="3"/>
      <c r="CX17" s="139"/>
      <c r="CY17" s="140"/>
      <c r="CZ17" s="140"/>
      <c r="DA17" s="140"/>
      <c r="DD17" s="114" t="s">
        <v>134</v>
      </c>
      <c r="DE17" s="346" t="e">
        <f>DE16*DE11</f>
        <v>#N/A</v>
      </c>
      <c r="DF17" s="346"/>
      <c r="DJ17" s="347" t="s">
        <v>135</v>
      </c>
      <c r="DK17" s="347"/>
      <c r="DL17" s="40"/>
      <c r="DM17" s="56"/>
      <c r="DN17" s="57"/>
      <c r="DO17" s="57"/>
      <c r="DP17" s="59"/>
      <c r="EU17" s="64"/>
      <c r="EV17" s="64"/>
      <c r="EW17" s="64"/>
      <c r="EX17" s="64"/>
      <c r="EY17" s="64"/>
      <c r="EZ17" s="64"/>
      <c r="FA17" s="64"/>
      <c r="FB17" s="64"/>
      <c r="FC17" s="64"/>
      <c r="FD17" s="64"/>
    </row>
    <row r="18" spans="2:160" ht="15" customHeight="1" x14ac:dyDescent="0.25">
      <c r="B18" s="10"/>
      <c r="C18" s="93"/>
      <c r="D18" s="94"/>
      <c r="E18" s="94"/>
      <c r="F18" s="95">
        <v>0</v>
      </c>
      <c r="G18" s="141"/>
      <c r="H18" s="348" t="s">
        <v>136</v>
      </c>
      <c r="I18" s="349"/>
      <c r="J18" s="349"/>
      <c r="K18" s="349"/>
      <c r="L18" s="349"/>
      <c r="M18" s="350"/>
      <c r="N18" s="14"/>
      <c r="P18" s="1">
        <v>1</v>
      </c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119"/>
      <c r="AM18" s="119"/>
      <c r="AN18" s="21"/>
      <c r="AO18" s="357" t="s">
        <v>137</v>
      </c>
      <c r="AP18" s="358"/>
      <c r="AQ18" s="127">
        <f>L6</f>
        <v>0</v>
      </c>
      <c r="AT18" s="313" t="s">
        <v>138</v>
      </c>
      <c r="AU18" s="314"/>
      <c r="AV18" s="314"/>
      <c r="AW18" s="314"/>
      <c r="AX18" s="314"/>
      <c r="AY18" s="315"/>
      <c r="AZ18" s="142" t="e">
        <f>IF(AZ16="","",IF(COUNTIF($AL:$AL,AZ14)&gt;0,VLOOKUP("X",$AP$8:$AQ$9,2,FALSE),""))</f>
        <v>#N/A</v>
      </c>
      <c r="BA18" s="142" t="e">
        <f>IF(BA16="","",IF(COUNTIF($AL:$AL,BA14)&gt;0,VLOOKUP("X",$AP$8:$AQ$9,2,FALSE),""))</f>
        <v>#N/A</v>
      </c>
      <c r="BB18" s="142" t="e">
        <f>IF(BB16="","",IF(COUNTIF($AL:$AL,BB14)&gt;0,VLOOKUP("X",$AP$8:$AQ$9,2,FALSE),""))</f>
        <v>#N/A</v>
      </c>
      <c r="BN18" s="339" t="s">
        <v>139</v>
      </c>
      <c r="BO18" s="339"/>
      <c r="BP18" s="339"/>
      <c r="BQ18" s="339"/>
      <c r="BR18" s="339"/>
      <c r="BS18" s="339"/>
      <c r="BT18" s="339"/>
      <c r="BU18" s="339"/>
      <c r="BV18" s="132" t="e">
        <f>IF(AZ16="","",AP12)</f>
        <v>#N/A</v>
      </c>
      <c r="CH18" s="339" t="s">
        <v>139</v>
      </c>
      <c r="CI18" s="339"/>
      <c r="CJ18" s="339"/>
      <c r="CK18" s="339"/>
      <c r="CL18" s="339"/>
      <c r="CM18" s="339"/>
      <c r="CN18" s="339"/>
      <c r="CO18" s="339"/>
      <c r="CP18" s="132" t="e">
        <f>IF(AZ16="","",AP12)</f>
        <v>#N/A</v>
      </c>
      <c r="CS18" s="143" t="s">
        <v>140</v>
      </c>
      <c r="CT18" s="310">
        <v>8</v>
      </c>
      <c r="CU18" s="311"/>
      <c r="CV18" s="312"/>
      <c r="CW18" s="3"/>
      <c r="CX18" s="143" t="s">
        <v>140</v>
      </c>
      <c r="CY18" s="310">
        <v>8</v>
      </c>
      <c r="CZ18" s="311"/>
      <c r="DA18" s="312"/>
      <c r="DD18" s="82" t="s">
        <v>137</v>
      </c>
      <c r="DE18" s="144">
        <f>DE10*DE11</f>
        <v>0</v>
      </c>
      <c r="DF18" s="144">
        <f>DF10*DE11</f>
        <v>0</v>
      </c>
      <c r="DJ18" s="341" t="e">
        <f>IF(OR(DK5="",1*LEFT(DJ15,2)&lt;=DK11),"MÁXIMO DE FOLHAS TÉCNICO","MÁXIMO DE FOLHAS VOLUME")</f>
        <v>#N/A</v>
      </c>
      <c r="DK18" s="342"/>
      <c r="DL18" s="40"/>
      <c r="DM18" s="56"/>
      <c r="DN18" s="57"/>
      <c r="DO18" s="57"/>
      <c r="DP18" s="59"/>
      <c r="EU18" s="64"/>
      <c r="EV18" s="64"/>
      <c r="EW18" s="64"/>
      <c r="EX18" s="64"/>
      <c r="EY18" s="64"/>
      <c r="EZ18" s="64"/>
      <c r="FA18" s="64"/>
      <c r="FB18" s="64"/>
      <c r="FC18" s="64"/>
      <c r="FD18" s="64"/>
    </row>
    <row r="19" spans="2:160" ht="15" customHeight="1" thickBot="1" x14ac:dyDescent="0.3">
      <c r="B19" s="10"/>
      <c r="C19" s="93"/>
      <c r="D19" s="94"/>
      <c r="E19" s="94"/>
      <c r="F19" s="95">
        <v>0</v>
      </c>
      <c r="G19" s="141"/>
      <c r="H19" s="351"/>
      <c r="I19" s="352"/>
      <c r="J19" s="352"/>
      <c r="K19" s="352"/>
      <c r="L19" s="352"/>
      <c r="M19" s="353"/>
      <c r="N19" s="14"/>
      <c r="P19" s="1">
        <v>1</v>
      </c>
      <c r="S19" s="136" t="s">
        <v>6</v>
      </c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119"/>
      <c r="AM19" s="119"/>
      <c r="AN19" s="21"/>
      <c r="AO19" s="21"/>
      <c r="AP19" s="21"/>
      <c r="AQ19" s="21"/>
      <c r="AT19" s="343" t="s">
        <v>142</v>
      </c>
      <c r="AU19" s="344"/>
      <c r="AV19" s="344"/>
      <c r="AW19" s="344"/>
      <c r="AX19" s="344"/>
      <c r="AY19" s="345"/>
      <c r="AZ19" s="149" t="e">
        <f>IF(AZ16="","",14)</f>
        <v>#N/A</v>
      </c>
      <c r="BA19" s="149" t="e">
        <f>IF(BA16="","",14)</f>
        <v>#N/A</v>
      </c>
      <c r="BB19" s="150" t="e">
        <f>IF(BB16="","",14)</f>
        <v>#N/A</v>
      </c>
      <c r="BN19" s="339" t="s">
        <v>143</v>
      </c>
      <c r="BO19" s="339"/>
      <c r="BP19" s="339"/>
      <c r="BQ19" s="339"/>
      <c r="BR19" s="339"/>
      <c r="BS19" s="339"/>
      <c r="BT19" s="339"/>
      <c r="BU19" s="339"/>
      <c r="BV19" s="132" t="e">
        <f>IF(BA16="","",AP13)</f>
        <v>#N/A</v>
      </c>
      <c r="CH19" s="339" t="s">
        <v>143</v>
      </c>
      <c r="CI19" s="339"/>
      <c r="CJ19" s="339"/>
      <c r="CK19" s="339"/>
      <c r="CL19" s="339"/>
      <c r="CM19" s="339"/>
      <c r="CN19" s="339"/>
      <c r="CO19" s="339"/>
      <c r="CP19" s="132" t="e">
        <f>IF(BA16="","",AP13)</f>
        <v>#N/A</v>
      </c>
      <c r="CS19" s="151" t="s">
        <v>144</v>
      </c>
      <c r="CT19" s="316">
        <f>PRODUCT(CT16*CT18)</f>
        <v>0</v>
      </c>
      <c r="CU19" s="317"/>
      <c r="CV19" s="318"/>
      <c r="CW19" s="3"/>
      <c r="CX19" s="151" t="s">
        <v>144</v>
      </c>
      <c r="CY19" s="316">
        <f>PRODUCT(CY16*CY18)</f>
        <v>0</v>
      </c>
      <c r="CZ19" s="317"/>
      <c r="DA19" s="318"/>
      <c r="EU19" s="64"/>
      <c r="EV19" s="64"/>
      <c r="EW19" s="64"/>
      <c r="EX19" s="64"/>
      <c r="EY19" s="64"/>
      <c r="EZ19" s="64"/>
      <c r="FA19" s="64"/>
      <c r="FB19" s="64"/>
      <c r="FC19" s="64"/>
      <c r="FD19" s="64"/>
    </row>
    <row r="20" spans="2:160" ht="15" customHeight="1" thickBot="1" x14ac:dyDescent="0.3">
      <c r="B20" s="10"/>
      <c r="C20" s="93"/>
      <c r="D20" s="94"/>
      <c r="E20" s="94"/>
      <c r="F20" s="95">
        <v>0</v>
      </c>
      <c r="G20" s="141"/>
      <c r="H20" s="351"/>
      <c r="I20" s="352"/>
      <c r="J20" s="352"/>
      <c r="K20" s="352"/>
      <c r="L20" s="352"/>
      <c r="M20" s="353"/>
      <c r="N20" s="14"/>
      <c r="P20" s="1">
        <v>1</v>
      </c>
      <c r="S20" s="152" t="s">
        <v>145</v>
      </c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119"/>
      <c r="AM20" s="119"/>
      <c r="AN20" s="21"/>
      <c r="AO20" s="21"/>
      <c r="AP20" s="21"/>
      <c r="AQ20" s="21"/>
      <c r="AT20" s="336" t="s">
        <v>146</v>
      </c>
      <c r="AU20" s="337"/>
      <c r="AV20" s="337"/>
      <c r="AW20" s="337"/>
      <c r="AX20" s="337"/>
      <c r="AY20" s="338"/>
      <c r="AZ20" s="156" t="e">
        <f>IF(AZ16="","",17)</f>
        <v>#N/A</v>
      </c>
      <c r="BA20" s="156" t="e">
        <f>IF(BA16="","",17)</f>
        <v>#N/A</v>
      </c>
      <c r="BB20" s="156" t="e">
        <f>IF(BB16="","",17)</f>
        <v>#N/A</v>
      </c>
      <c r="BN20" s="339" t="s">
        <v>147</v>
      </c>
      <c r="BO20" s="339"/>
      <c r="BP20" s="339"/>
      <c r="BQ20" s="339"/>
      <c r="BR20" s="339"/>
      <c r="BS20" s="339"/>
      <c r="BT20" s="339"/>
      <c r="BU20" s="339"/>
      <c r="BV20" s="132" t="e">
        <f>IF(BB16="","",AP14)</f>
        <v>#N/A</v>
      </c>
      <c r="CH20" s="339" t="s">
        <v>147</v>
      </c>
      <c r="CI20" s="339"/>
      <c r="CJ20" s="339"/>
      <c r="CK20" s="339"/>
      <c r="CL20" s="339"/>
      <c r="CM20" s="339"/>
      <c r="CN20" s="339"/>
      <c r="CO20" s="339"/>
      <c r="CP20" s="132" t="e">
        <f>IF(BB16="","",AP14)</f>
        <v>#N/A</v>
      </c>
      <c r="CS20" s="157"/>
      <c r="CT20" s="158"/>
      <c r="CU20" s="158"/>
      <c r="CV20" s="158"/>
      <c r="CW20" s="159"/>
      <c r="CX20" s="157"/>
      <c r="CY20" s="158"/>
      <c r="CZ20" s="158"/>
      <c r="DA20" s="158"/>
      <c r="EU20" s="64"/>
      <c r="EV20" s="64"/>
      <c r="EW20" s="64"/>
      <c r="EX20" s="64"/>
      <c r="EY20" s="64"/>
      <c r="EZ20" s="64"/>
      <c r="FA20" s="64"/>
      <c r="FB20" s="64"/>
      <c r="FC20" s="64"/>
      <c r="FD20" s="64"/>
    </row>
    <row r="21" spans="2:160" ht="15" customHeight="1" thickBot="1" x14ac:dyDescent="0.3">
      <c r="B21" s="10"/>
      <c r="C21" s="93"/>
      <c r="D21" s="94"/>
      <c r="E21" s="94"/>
      <c r="F21" s="160">
        <v>0</v>
      </c>
      <c r="G21" s="141"/>
      <c r="H21" s="354"/>
      <c r="I21" s="355"/>
      <c r="J21" s="355"/>
      <c r="K21" s="355"/>
      <c r="L21" s="355"/>
      <c r="M21" s="356"/>
      <c r="N21" s="14"/>
      <c r="P21" s="1">
        <v>1</v>
      </c>
      <c r="S21" s="152" t="s">
        <v>148</v>
      </c>
      <c r="T21" s="152"/>
      <c r="U21" s="152"/>
      <c r="V21" s="152"/>
      <c r="W21" s="152"/>
      <c r="X21" s="152"/>
      <c r="Y21" s="152"/>
      <c r="Z21" s="152"/>
      <c r="AA21" s="152"/>
      <c r="AB21" s="152"/>
      <c r="AC21" s="152"/>
      <c r="AD21" s="152"/>
      <c r="AE21" s="152"/>
      <c r="AF21" s="152"/>
      <c r="AG21" s="152"/>
      <c r="AH21" s="152"/>
      <c r="AI21" s="152"/>
      <c r="AJ21" s="152"/>
      <c r="AK21" s="152"/>
      <c r="AL21" s="161"/>
      <c r="AM21" s="161"/>
      <c r="AN21" s="152"/>
      <c r="AO21" s="152"/>
      <c r="AP21" s="152"/>
      <c r="AQ21" s="152"/>
      <c r="AT21" s="313" t="s">
        <v>149</v>
      </c>
      <c r="AU21" s="314"/>
      <c r="AV21" s="314"/>
      <c r="AW21" s="314"/>
      <c r="AX21" s="314"/>
      <c r="AY21" s="315"/>
      <c r="AZ21" s="162" t="e">
        <f>IF(AZ16="","",(0.8/AZ17)*AZ27)</f>
        <v>#N/A</v>
      </c>
      <c r="BA21" s="162" t="e">
        <f>IF(BA16="","",(0.8/BA17)*BA27)</f>
        <v>#N/A</v>
      </c>
      <c r="BB21" s="162" t="e">
        <f>IF(BB16="","",(0.8/BB17)*BB27)</f>
        <v>#N/A</v>
      </c>
      <c r="BN21" s="340" t="s">
        <v>110</v>
      </c>
      <c r="BO21" s="340"/>
      <c r="BP21" s="340"/>
      <c r="BQ21" s="340"/>
      <c r="BR21" s="340"/>
      <c r="BS21" s="340"/>
      <c r="BT21" s="340"/>
      <c r="BU21" s="340"/>
      <c r="BV21" s="163" t="e">
        <f>IF(AND(BV18="",BV19="",BV20=""),"",SUM(BV18:BV20))</f>
        <v>#N/A</v>
      </c>
      <c r="CH21" s="340" t="s">
        <v>110</v>
      </c>
      <c r="CI21" s="340"/>
      <c r="CJ21" s="340"/>
      <c r="CK21" s="340"/>
      <c r="CL21" s="340"/>
      <c r="CM21" s="340"/>
      <c r="CN21" s="340"/>
      <c r="CO21" s="340"/>
      <c r="CP21" s="163" t="e">
        <f>IF(AND(CP18="",CP19="",CP20=""),"",SUM(CP18:CP20))</f>
        <v>#N/A</v>
      </c>
      <c r="CS21" s="143" t="s">
        <v>150</v>
      </c>
      <c r="CT21" s="310">
        <v>2</v>
      </c>
      <c r="CU21" s="311"/>
      <c r="CV21" s="312"/>
      <c r="CW21" s="159"/>
      <c r="CX21" s="143" t="s">
        <v>150</v>
      </c>
      <c r="CY21" s="310">
        <v>4</v>
      </c>
      <c r="CZ21" s="311"/>
      <c r="DA21" s="312"/>
      <c r="DD21" s="1" t="s">
        <v>151</v>
      </c>
      <c r="DE21" s="164" t="e">
        <f>IF(AND($DE$18&gt;=$DF$18,$DE$14&lt;$DE$9),$DE$18,IF(AND($DF$18&gt;=$DE$18,$DF$14&lt;$DE$9),$DF$18,$DE$17))</f>
        <v>#N/A</v>
      </c>
      <c r="EU21" s="60"/>
      <c r="EV21" s="60"/>
      <c r="EW21" s="60"/>
      <c r="EX21" s="64"/>
      <c r="EY21" s="64"/>
      <c r="EZ21" s="64"/>
      <c r="FA21" s="64"/>
      <c r="FB21" s="64"/>
      <c r="FC21" s="64"/>
      <c r="FD21" s="64"/>
    </row>
    <row r="22" spans="2:160" ht="6" customHeight="1" thickBot="1" x14ac:dyDescent="0.3">
      <c r="B22" s="10"/>
      <c r="C22" s="84"/>
      <c r="D22" s="165"/>
      <c r="E22" s="166"/>
      <c r="F22" s="69"/>
      <c r="G22" s="71"/>
      <c r="H22" s="69"/>
      <c r="I22" s="70"/>
      <c r="J22" s="70"/>
      <c r="K22" s="70"/>
      <c r="L22" s="167"/>
      <c r="M22" s="71"/>
      <c r="N22" s="14"/>
      <c r="P22" s="1">
        <v>1</v>
      </c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119"/>
      <c r="AM22" s="119"/>
      <c r="AN22" s="21"/>
      <c r="AO22" s="21"/>
      <c r="AP22" s="21"/>
      <c r="AQ22" s="21"/>
      <c r="AT22" s="313" t="s">
        <v>152</v>
      </c>
      <c r="AU22" s="314"/>
      <c r="AV22" s="314"/>
      <c r="AW22" s="314"/>
      <c r="AX22" s="314"/>
      <c r="AY22" s="315"/>
      <c r="AZ22" s="162" t="e">
        <f>IF(AZ16="","",AQ17)</f>
        <v>#N/A</v>
      </c>
      <c r="BA22" s="162" t="e">
        <f>IF(BA16="","",AQ17)</f>
        <v>#N/A</v>
      </c>
      <c r="BB22" s="162" t="e">
        <f>IF(BB16="","",AQ17)</f>
        <v>#N/A</v>
      </c>
      <c r="CS22" s="151" t="s">
        <v>153</v>
      </c>
      <c r="CT22" s="316">
        <f>CT19/CT21</f>
        <v>0</v>
      </c>
      <c r="CU22" s="317"/>
      <c r="CV22" s="318"/>
      <c r="CW22" s="159"/>
      <c r="CX22" s="151" t="s">
        <v>153</v>
      </c>
      <c r="CY22" s="316">
        <f>CY19/CY21</f>
        <v>0</v>
      </c>
      <c r="CZ22" s="317"/>
      <c r="DA22" s="318"/>
      <c r="EU22" s="60"/>
      <c r="EV22" s="60"/>
      <c r="EW22" s="60"/>
      <c r="EX22" s="64"/>
      <c r="EY22" s="64"/>
      <c r="EZ22" s="64"/>
      <c r="FA22" s="64"/>
      <c r="FB22" s="64"/>
      <c r="FC22" s="64"/>
      <c r="FD22" s="64"/>
    </row>
    <row r="23" spans="2:160" ht="15.75" customHeight="1" thickBot="1" x14ac:dyDescent="0.3">
      <c r="B23" s="10"/>
      <c r="C23" s="319" t="s">
        <v>154</v>
      </c>
      <c r="D23" s="320"/>
      <c r="E23" s="320"/>
      <c r="F23" s="320"/>
      <c r="G23" s="320"/>
      <c r="H23" s="320"/>
      <c r="I23" s="320"/>
      <c r="J23" s="320"/>
      <c r="K23" s="320"/>
      <c r="L23" s="320"/>
      <c r="M23" s="321"/>
      <c r="N23" s="14"/>
      <c r="P23" s="1">
        <v>1</v>
      </c>
      <c r="S23" s="136" t="s">
        <v>85</v>
      </c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119"/>
      <c r="AM23" s="119"/>
      <c r="AN23" s="21"/>
      <c r="AO23" s="21"/>
      <c r="AP23" s="21"/>
      <c r="AQ23" s="21"/>
      <c r="AT23" s="129" t="s">
        <v>155</v>
      </c>
      <c r="AU23" s="130"/>
      <c r="AV23" s="130"/>
      <c r="AW23" s="130"/>
      <c r="AX23" s="130"/>
      <c r="AY23" s="131"/>
      <c r="AZ23" s="168" t="e">
        <f>IF(AZ16&lt;&gt;"",27/$AQ$18,"")</f>
        <v>#N/A</v>
      </c>
      <c r="BA23" s="168" t="e">
        <f>IF(BA16&lt;&gt;"",27/$AQ$18,"")</f>
        <v>#N/A</v>
      </c>
      <c r="BB23" s="168" t="e">
        <f>IF(BB16&lt;&gt;"",27/$AQ$18,"")</f>
        <v>#N/A</v>
      </c>
      <c r="BN23" s="322" t="s">
        <v>156</v>
      </c>
      <c r="BO23" s="323"/>
      <c r="BP23" s="323"/>
      <c r="BQ23" s="323"/>
      <c r="BR23" s="323"/>
      <c r="BS23" s="323"/>
      <c r="BT23" s="323"/>
      <c r="BU23" s="323"/>
      <c r="BV23" s="324"/>
      <c r="EU23" s="60"/>
      <c r="EV23" s="60">
        <f>139/34</f>
        <v>4.0882352941176467</v>
      </c>
      <c r="EW23" s="60"/>
      <c r="EX23" s="64"/>
      <c r="EY23" s="64"/>
      <c r="EZ23" s="64"/>
      <c r="FA23" s="64"/>
      <c r="FB23" s="64"/>
      <c r="FC23" s="64"/>
      <c r="FD23" s="64"/>
    </row>
    <row r="24" spans="2:160" ht="6" customHeight="1" x14ac:dyDescent="0.25">
      <c r="B24" s="10"/>
      <c r="C24" s="169"/>
      <c r="D24" s="170"/>
      <c r="E24" s="170"/>
      <c r="F24" s="171"/>
      <c r="G24" s="172"/>
      <c r="H24" s="6"/>
      <c r="I24" s="6"/>
      <c r="J24" s="173"/>
      <c r="K24" s="171"/>
      <c r="L24" s="171"/>
      <c r="M24" s="174"/>
      <c r="N24" s="175"/>
      <c r="O24" s="176"/>
      <c r="P24" s="1">
        <v>1</v>
      </c>
      <c r="S24" s="152" t="s">
        <v>157</v>
      </c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119"/>
      <c r="AM24" s="119"/>
      <c r="AN24" s="21"/>
      <c r="AO24" s="21"/>
      <c r="AP24" s="21"/>
      <c r="AQ24" s="21"/>
      <c r="AT24" s="129" t="s">
        <v>158</v>
      </c>
      <c r="AU24" s="130"/>
      <c r="AV24" s="130"/>
      <c r="AW24" s="130"/>
      <c r="AX24" s="130"/>
      <c r="AY24" s="131"/>
      <c r="AZ24" s="168" t="e">
        <f>IF(AZ16&lt;&gt;"",$AK$15*0.5,"")</f>
        <v>#N/A</v>
      </c>
      <c r="BA24" s="168" t="e">
        <f>IF(BA16&lt;&gt;"",$AK$15*0.5,"")</f>
        <v>#N/A</v>
      </c>
      <c r="BB24" s="168" t="e">
        <f>IF(BB16&lt;&gt;"",$AK$15*0.5,"")</f>
        <v>#N/A</v>
      </c>
      <c r="BN24" s="325"/>
      <c r="BO24" s="326"/>
      <c r="BP24" s="326"/>
      <c r="BQ24" s="326"/>
      <c r="BR24" s="326"/>
      <c r="BS24" s="326"/>
      <c r="BT24" s="326"/>
      <c r="BU24" s="326"/>
      <c r="BV24" s="327"/>
      <c r="EU24" s="60"/>
      <c r="EV24" s="60">
        <f>100/17</f>
        <v>5.882352941176471</v>
      </c>
      <c r="EW24" s="60"/>
    </row>
    <row r="25" spans="2:160" ht="14.1" customHeight="1" x14ac:dyDescent="0.25">
      <c r="B25" s="10"/>
      <c r="C25" s="331" t="s">
        <v>159</v>
      </c>
      <c r="D25" s="332"/>
      <c r="E25" s="332"/>
      <c r="G25" s="178"/>
      <c r="H25" s="179"/>
      <c r="I25" s="176"/>
      <c r="J25" s="333" t="s">
        <v>160</v>
      </c>
      <c r="K25" s="334"/>
      <c r="L25" s="335"/>
      <c r="M25" s="14"/>
      <c r="N25" s="180"/>
      <c r="O25" s="181"/>
      <c r="P25" s="1">
        <v>1</v>
      </c>
      <c r="Q25" s="181"/>
      <c r="R25" s="181"/>
      <c r="S25" s="152" t="s">
        <v>161</v>
      </c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119"/>
      <c r="AM25" s="119"/>
      <c r="AN25" s="21"/>
      <c r="AO25" s="21"/>
      <c r="AP25" s="21"/>
      <c r="AQ25" s="21"/>
      <c r="AT25" s="129" t="s">
        <v>162</v>
      </c>
      <c r="AU25" s="130"/>
      <c r="AV25" s="130"/>
      <c r="AW25" s="130"/>
      <c r="AX25" s="130"/>
      <c r="AY25" s="131"/>
      <c r="AZ25" s="168" t="e">
        <f>IF(AZ16="","",IF(COUNTIF($AL:$AL,AZ14)&gt;0,AQ12,""))</f>
        <v>#N/A</v>
      </c>
      <c r="BA25" s="168" t="e">
        <f>IF(BA16="","",IF(COUNTIF($AL:$AL,BA14)&gt;0,AQ13,""))</f>
        <v>#N/A</v>
      </c>
      <c r="BB25" s="168" t="e">
        <f>IF(BB16="","",IF(COUNTIF($AL:$AL,BB14)&gt;0,AQ14,""))</f>
        <v>#N/A</v>
      </c>
      <c r="BN25" s="325"/>
      <c r="BO25" s="326"/>
      <c r="BP25" s="326"/>
      <c r="BQ25" s="326"/>
      <c r="BR25" s="326"/>
      <c r="BS25" s="326"/>
      <c r="BT25" s="326"/>
      <c r="BU25" s="326"/>
      <c r="BV25" s="327"/>
      <c r="EU25" s="60"/>
      <c r="EV25" s="60">
        <f>EV24*EV23*0.9</f>
        <v>21.643598615916954</v>
      </c>
      <c r="EW25" s="60"/>
    </row>
    <row r="26" spans="2:160" ht="12.75" customHeight="1" x14ac:dyDescent="0.2">
      <c r="B26" s="10"/>
      <c r="C26" s="10"/>
      <c r="H26" s="181"/>
      <c r="I26" s="181"/>
      <c r="J26" s="182" t="s">
        <v>163</v>
      </c>
      <c r="K26" s="182" t="s">
        <v>164</v>
      </c>
      <c r="L26" s="182" t="s">
        <v>165</v>
      </c>
      <c r="M26" s="14"/>
      <c r="N26" s="180"/>
      <c r="O26" s="181"/>
      <c r="P26" s="1">
        <v>1</v>
      </c>
      <c r="Q26" s="181"/>
      <c r="R26" s="181"/>
      <c r="AT26" s="129" t="s">
        <v>166</v>
      </c>
      <c r="AU26" s="130"/>
      <c r="AV26" s="130"/>
      <c r="AW26" s="130"/>
      <c r="AX26" s="130"/>
      <c r="AY26" s="131"/>
      <c r="AZ26" s="123" t="e">
        <f>IF($AZ16="","",(AZ16*AZ17))</f>
        <v>#N/A</v>
      </c>
      <c r="BA26" s="123" t="e">
        <f>IF($BA16="","",(BA16*BA17))</f>
        <v>#N/A</v>
      </c>
      <c r="BB26" s="123" t="e">
        <f>IF($BB16="","",(BB16*BB17))</f>
        <v>#N/A</v>
      </c>
      <c r="BN26" s="325"/>
      <c r="BO26" s="326"/>
      <c r="BP26" s="326"/>
      <c r="BQ26" s="326"/>
      <c r="BR26" s="326"/>
      <c r="BS26" s="326"/>
      <c r="BT26" s="326"/>
      <c r="BU26" s="326"/>
      <c r="BV26" s="327"/>
      <c r="EU26" s="60"/>
      <c r="EV26" s="60"/>
      <c r="EW26" s="60"/>
    </row>
    <row r="27" spans="2:160" ht="14.1" customHeight="1" x14ac:dyDescent="0.2">
      <c r="B27" s="10"/>
      <c r="C27" s="10"/>
      <c r="D27" s="183"/>
      <c r="G27" s="183"/>
      <c r="J27" s="184" t="str">
        <f t="shared" ref="J27:J37" si="16">C11</f>
        <v>334</v>
      </c>
      <c r="K27" s="185" t="s">
        <v>292</v>
      </c>
      <c r="L27" s="185">
        <v>13.23</v>
      </c>
      <c r="M27" s="14"/>
      <c r="N27" s="186"/>
      <c r="O27" s="183"/>
      <c r="P27" s="1">
        <v>1</v>
      </c>
      <c r="AT27" s="129" t="s">
        <v>168</v>
      </c>
      <c r="AU27" s="130"/>
      <c r="AV27" s="130"/>
      <c r="AW27" s="130"/>
      <c r="AX27" s="130"/>
      <c r="AY27" s="131"/>
      <c r="AZ27" s="123" t="e">
        <f>IF($AZ16="","",(AZ16*AZ17*AZ25))</f>
        <v>#N/A</v>
      </c>
      <c r="BA27" s="123" t="e">
        <f>IF($BA16="","",(BA16*BA17*BA25))</f>
        <v>#N/A</v>
      </c>
      <c r="BB27" s="123" t="e">
        <f>IF($BB16="","",(BB16*BB17*BB25))</f>
        <v>#N/A</v>
      </c>
      <c r="BN27" s="328"/>
      <c r="BO27" s="329"/>
      <c r="BP27" s="329"/>
      <c r="BQ27" s="329"/>
      <c r="BR27" s="329"/>
      <c r="BS27" s="329"/>
      <c r="BT27" s="329"/>
      <c r="BU27" s="329"/>
      <c r="BV27" s="330"/>
    </row>
    <row r="28" spans="2:160" ht="14.1" customHeight="1" x14ac:dyDescent="0.2">
      <c r="B28" s="10"/>
      <c r="C28" s="187"/>
      <c r="D28" s="183"/>
      <c r="G28" s="183"/>
      <c r="J28" s="184" t="str">
        <f t="shared" si="16"/>
        <v>356</v>
      </c>
      <c r="K28" s="185" t="s">
        <v>293</v>
      </c>
      <c r="L28" s="185">
        <v>13.58</v>
      </c>
      <c r="M28" s="14"/>
      <c r="N28" s="186"/>
      <c r="O28" s="183"/>
      <c r="P28" s="1">
        <v>1</v>
      </c>
      <c r="AT28" s="146" t="s">
        <v>170</v>
      </c>
      <c r="AU28" s="147"/>
      <c r="AV28" s="147"/>
      <c r="AW28" s="147"/>
      <c r="AX28" s="147"/>
      <c r="AY28" s="148"/>
      <c r="AZ28" s="188" t="e">
        <f>IF(AZ16="","",IF(AZ18="","",AZ18/AZ26))</f>
        <v>#N/A</v>
      </c>
      <c r="BA28" s="188" t="e">
        <f>IF(BA16="","",IF(BA18="","",BA18/BA26))</f>
        <v>#N/A</v>
      </c>
      <c r="BB28" s="188" t="e">
        <f>IF(BB16="","",IF(BB18="","",BB18/BB26))</f>
        <v>#N/A</v>
      </c>
    </row>
    <row r="29" spans="2:160" ht="14.1" customHeight="1" x14ac:dyDescent="0.2">
      <c r="B29" s="10"/>
      <c r="C29" s="187"/>
      <c r="D29" s="183"/>
      <c r="G29" s="183"/>
      <c r="J29" s="184" t="str">
        <f t="shared" si="16"/>
        <v>378</v>
      </c>
      <c r="K29" s="185" t="s">
        <v>294</v>
      </c>
      <c r="L29" s="185">
        <v>14.28</v>
      </c>
      <c r="M29" s="14"/>
      <c r="N29" s="186"/>
      <c r="O29" s="183"/>
      <c r="P29" s="1">
        <v>1</v>
      </c>
      <c r="AT29" s="146" t="s">
        <v>172</v>
      </c>
      <c r="AU29" s="147"/>
      <c r="AV29" s="147"/>
      <c r="AW29" s="147"/>
      <c r="AX29" s="147"/>
      <c r="AY29" s="148"/>
      <c r="AZ29" s="188" t="str">
        <f>IFERROR(AZ19/AZ27,"")</f>
        <v/>
      </c>
      <c r="BA29" s="188" t="str">
        <f>IFERROR(BA19/BA27,"")</f>
        <v/>
      </c>
      <c r="BB29" s="188" t="str">
        <f>IFERROR(BB19/BB27,"")</f>
        <v/>
      </c>
      <c r="EV29" s="2"/>
    </row>
    <row r="30" spans="2:160" ht="14.1" customHeight="1" x14ac:dyDescent="0.2">
      <c r="B30" s="10"/>
      <c r="C30" s="187"/>
      <c r="D30" s="183"/>
      <c r="J30" s="184" t="str">
        <f t="shared" si="16"/>
        <v>394</v>
      </c>
      <c r="K30" s="190" t="s">
        <v>295</v>
      </c>
      <c r="L30" s="185">
        <v>14.94</v>
      </c>
      <c r="M30" s="14"/>
      <c r="N30" s="186"/>
      <c r="O30" s="183"/>
      <c r="P30" s="1">
        <v>1</v>
      </c>
      <c r="AT30" s="153" t="s">
        <v>174</v>
      </c>
      <c r="AU30" s="154"/>
      <c r="AV30" s="154"/>
      <c r="AW30" s="154"/>
      <c r="AX30" s="154"/>
      <c r="AY30" s="155"/>
      <c r="AZ30" s="191" t="str">
        <f>IFERROR(AZ20/AZ27,"")</f>
        <v/>
      </c>
      <c r="BA30" s="191" t="str">
        <f>IFERROR(BA20/BA27,"")</f>
        <v/>
      </c>
      <c r="BB30" s="191" t="str">
        <f>IFERROR(BB20/BB27,"")</f>
        <v/>
      </c>
    </row>
    <row r="31" spans="2:160" ht="11.25" customHeight="1" x14ac:dyDescent="0.25">
      <c r="B31" s="10"/>
      <c r="C31" s="192"/>
      <c r="D31" s="183"/>
      <c r="E31" s="193"/>
      <c r="M31" s="14"/>
      <c r="N31" s="194"/>
      <c r="O31" s="193"/>
      <c r="P31" s="1">
        <v>1</v>
      </c>
      <c r="AT31" s="146" t="s">
        <v>176</v>
      </c>
      <c r="AU31" s="147"/>
      <c r="AV31" s="147"/>
      <c r="AW31" s="147"/>
      <c r="AX31" s="147"/>
      <c r="AY31" s="148"/>
      <c r="AZ31" s="188" t="str">
        <f>IFERROR(AZ21/AZ27,"")</f>
        <v/>
      </c>
      <c r="BA31" s="188" t="str">
        <f>IFERROR(BA21/BA27,"")</f>
        <v/>
      </c>
      <c r="BB31" s="188" t="str">
        <f>IFERROR(BB21/BB27,"")</f>
        <v/>
      </c>
    </row>
    <row r="32" spans="2:160" ht="14.1" customHeight="1" x14ac:dyDescent="0.2">
      <c r="B32" s="10"/>
      <c r="C32" s="10"/>
      <c r="M32" s="14"/>
      <c r="N32" s="14"/>
      <c r="P32" s="1">
        <v>1</v>
      </c>
      <c r="AT32" s="146" t="s">
        <v>178</v>
      </c>
      <c r="AU32" s="147"/>
      <c r="AV32" s="147"/>
      <c r="AW32" s="147"/>
      <c r="AX32" s="147"/>
      <c r="AY32" s="148"/>
      <c r="AZ32" s="188" t="e">
        <f>AZ22</f>
        <v>#N/A</v>
      </c>
      <c r="BA32" s="188" t="e">
        <f>BA22</f>
        <v>#N/A</v>
      </c>
      <c r="BB32" s="188" t="e">
        <f>BB22</f>
        <v>#N/A</v>
      </c>
    </row>
    <row r="33" spans="2:153" ht="14.1" customHeight="1" x14ac:dyDescent="0.2">
      <c r="B33" s="10"/>
      <c r="C33" s="10"/>
      <c r="F33" s="296"/>
      <c r="G33" s="296"/>
      <c r="H33" s="296"/>
      <c r="J33" s="297" t="s">
        <v>296</v>
      </c>
      <c r="K33" s="297"/>
      <c r="M33" s="14"/>
      <c r="N33" s="14"/>
      <c r="P33" s="1">
        <v>1</v>
      </c>
      <c r="AT33" s="153" t="s">
        <v>180</v>
      </c>
      <c r="AU33" s="154"/>
      <c r="AV33" s="154"/>
      <c r="AW33" s="154"/>
      <c r="AX33" s="154"/>
      <c r="AY33" s="155"/>
      <c r="AZ33" s="191" t="e">
        <f>AZ22</f>
        <v>#N/A</v>
      </c>
      <c r="BA33" s="191" t="e">
        <f>BA22</f>
        <v>#N/A</v>
      </c>
      <c r="BB33" s="191" t="e">
        <f>BB22</f>
        <v>#N/A</v>
      </c>
    </row>
    <row r="34" spans="2:153" ht="14.1" customHeight="1" x14ac:dyDescent="0.25">
      <c r="B34" s="10"/>
      <c r="C34" s="195"/>
      <c r="F34" s="296"/>
      <c r="G34" s="296"/>
      <c r="H34" s="296"/>
      <c r="J34" s="1" t="s">
        <v>303</v>
      </c>
      <c r="K34" s="1" t="s">
        <v>302</v>
      </c>
      <c r="M34" s="14"/>
      <c r="N34" s="14"/>
      <c r="P34" s="1">
        <v>1</v>
      </c>
      <c r="AT34" s="146" t="s">
        <v>181</v>
      </c>
      <c r="AU34" s="147"/>
      <c r="AV34" s="147"/>
      <c r="AW34" s="147"/>
      <c r="AX34" s="147"/>
      <c r="AY34" s="148"/>
      <c r="AZ34" s="188" t="str">
        <f>IFERROR(AZ24/AZ27,"")</f>
        <v/>
      </c>
      <c r="BA34" s="188" t="str">
        <f>IFERROR(BA24/BA27,"")</f>
        <v/>
      </c>
      <c r="BB34" s="188" t="str">
        <f>IFERROR(BB24/BB27,"")</f>
        <v/>
      </c>
    </row>
    <row r="35" spans="2:153" ht="20.25" customHeight="1" x14ac:dyDescent="0.3">
      <c r="B35" s="10"/>
      <c r="C35" s="10"/>
      <c r="E35" s="196"/>
      <c r="F35" s="296"/>
      <c r="G35" s="296"/>
      <c r="H35" s="296"/>
      <c r="J35" s="1">
        <v>4</v>
      </c>
      <c r="K35" s="1">
        <v>4</v>
      </c>
      <c r="M35" s="14"/>
      <c r="N35" s="14"/>
      <c r="P35" s="1">
        <v>1</v>
      </c>
      <c r="AT35" s="146" t="s">
        <v>183</v>
      </c>
      <c r="AU35" s="147"/>
      <c r="AV35" s="147"/>
      <c r="AW35" s="147"/>
      <c r="AX35" s="147"/>
      <c r="AY35" s="148"/>
      <c r="AZ35" s="188" t="e">
        <f>AZ23</f>
        <v>#N/A</v>
      </c>
      <c r="BA35" s="188" t="e">
        <f>BA23</f>
        <v>#N/A</v>
      </c>
      <c r="BB35" s="188" t="e">
        <f>BB23</f>
        <v>#N/A</v>
      </c>
    </row>
    <row r="36" spans="2:153" s="202" customFormat="1" ht="17.25" customHeight="1" x14ac:dyDescent="0.35">
      <c r="B36" s="197"/>
      <c r="C36" s="198"/>
      <c r="D36" s="199"/>
      <c r="E36" s="196"/>
      <c r="F36" s="296"/>
      <c r="G36" s="296"/>
      <c r="H36" s="296"/>
      <c r="I36" s="196"/>
      <c r="J36" s="1"/>
      <c r="K36" s="1"/>
      <c r="L36" s="1"/>
      <c r="M36" s="201"/>
      <c r="N36" s="201"/>
      <c r="P36" s="202">
        <v>1</v>
      </c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77"/>
      <c r="AU36" s="177"/>
      <c r="AV36" s="177"/>
      <c r="AW36" s="177"/>
      <c r="AX36" s="177"/>
      <c r="AY36" s="99"/>
      <c r="AZ36" s="99"/>
      <c r="BA36" s="99"/>
      <c r="BB36" s="99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</row>
    <row r="37" spans="2:153" ht="14.1" customHeight="1" x14ac:dyDescent="0.2">
      <c r="B37" s="203"/>
      <c r="C37" s="10"/>
      <c r="E37" s="181"/>
      <c r="F37" s="296"/>
      <c r="G37" s="296"/>
      <c r="H37" s="296"/>
      <c r="I37" s="181"/>
      <c r="J37" s="204">
        <f t="shared" si="16"/>
        <v>0</v>
      </c>
      <c r="K37" s="205">
        <v>0</v>
      </c>
      <c r="L37" s="205">
        <v>0</v>
      </c>
      <c r="M37" s="14"/>
      <c r="N37" s="14"/>
      <c r="P37" s="1">
        <v>1</v>
      </c>
    </row>
    <row r="38" spans="2:153" x14ac:dyDescent="0.2">
      <c r="B38" s="10"/>
      <c r="C38" s="187"/>
      <c r="D38" s="183"/>
      <c r="F38" s="296"/>
      <c r="G38" s="296"/>
      <c r="H38" s="296"/>
      <c r="J38" s="183"/>
      <c r="K38" s="183"/>
      <c r="M38" s="14"/>
      <c r="N38" s="14"/>
      <c r="P38" s="1">
        <v>1</v>
      </c>
    </row>
    <row r="39" spans="2:153" ht="5.0999999999999996" customHeight="1" x14ac:dyDescent="0.2">
      <c r="B39" s="10"/>
      <c r="C39" s="187"/>
      <c r="D39" s="183"/>
      <c r="G39" s="183"/>
      <c r="M39" s="14"/>
      <c r="N39" s="14"/>
      <c r="P39" s="1">
        <v>1</v>
      </c>
    </row>
    <row r="40" spans="2:153" ht="5.0999999999999996" customHeight="1" x14ac:dyDescent="0.25">
      <c r="B40" s="10"/>
      <c r="C40" s="187"/>
      <c r="D40" s="183"/>
      <c r="G40" s="183"/>
      <c r="H40" s="206"/>
      <c r="I40" s="206"/>
      <c r="M40" s="14"/>
      <c r="N40" s="14"/>
      <c r="P40" s="1">
        <v>1</v>
      </c>
    </row>
    <row r="41" spans="2:153" ht="5.0999999999999996" customHeight="1" x14ac:dyDescent="0.25">
      <c r="B41" s="10"/>
      <c r="C41" s="192"/>
      <c r="D41" s="183"/>
      <c r="F41" s="193"/>
      <c r="G41" s="176"/>
      <c r="J41" s="183"/>
      <c r="K41" s="193"/>
      <c r="L41" s="207"/>
      <c r="M41" s="208"/>
      <c r="N41" s="14"/>
      <c r="P41" s="1">
        <v>1</v>
      </c>
    </row>
    <row r="42" spans="2:153" ht="6" customHeight="1" thickBot="1" x14ac:dyDescent="0.3">
      <c r="B42" s="10"/>
      <c r="C42" s="192"/>
      <c r="D42" s="183"/>
      <c r="J42" s="209"/>
      <c r="K42" s="183"/>
      <c r="M42" s="14"/>
      <c r="N42" s="14"/>
      <c r="P42" s="1">
        <v>1</v>
      </c>
      <c r="ES42" s="60"/>
      <c r="ET42" s="60"/>
      <c r="EU42" s="60"/>
      <c r="EV42" s="60"/>
      <c r="EW42" s="60"/>
    </row>
    <row r="43" spans="2:153" ht="21" thickBot="1" x14ac:dyDescent="0.35">
      <c r="B43" s="10"/>
      <c r="C43" s="298" t="s">
        <v>297</v>
      </c>
      <c r="D43" s="299"/>
      <c r="E43" s="299"/>
      <c r="F43" s="299"/>
      <c r="G43" s="299"/>
      <c r="H43" s="299"/>
      <c r="I43" s="299"/>
      <c r="J43" s="299"/>
      <c r="K43" s="299"/>
      <c r="L43" s="299"/>
      <c r="M43" s="300"/>
      <c r="N43" s="14"/>
      <c r="P43" s="1">
        <v>1</v>
      </c>
      <c r="ES43" s="60"/>
      <c r="ET43" s="60"/>
      <c r="EU43" s="60"/>
      <c r="EV43" s="60"/>
      <c r="EW43" s="60"/>
    </row>
    <row r="44" spans="2:153" ht="15.95" customHeight="1" thickBot="1" x14ac:dyDescent="0.25">
      <c r="B44" s="10"/>
      <c r="C44" s="210" t="s">
        <v>186</v>
      </c>
      <c r="D44" s="211" t="s">
        <v>187</v>
      </c>
      <c r="E44" s="211" t="s">
        <v>188</v>
      </c>
      <c r="F44" s="211" t="s">
        <v>189</v>
      </c>
      <c r="G44" s="211" t="s">
        <v>187</v>
      </c>
      <c r="H44" s="211" t="s">
        <v>188</v>
      </c>
      <c r="I44" s="211" t="s">
        <v>189</v>
      </c>
      <c r="J44" s="211" t="s">
        <v>187</v>
      </c>
      <c r="K44" s="211" t="s">
        <v>188</v>
      </c>
      <c r="L44" s="211" t="s">
        <v>189</v>
      </c>
      <c r="M44" s="212" t="s">
        <v>190</v>
      </c>
      <c r="N44" s="14"/>
      <c r="P44" s="1">
        <v>1</v>
      </c>
      <c r="ES44" s="60"/>
      <c r="ET44" s="60"/>
      <c r="EU44" s="60"/>
      <c r="EV44" s="60" t="s">
        <v>191</v>
      </c>
      <c r="EW44" s="60"/>
    </row>
    <row r="45" spans="2:153" ht="20.25" thickBot="1" x14ac:dyDescent="0.35">
      <c r="B45" s="10"/>
      <c r="C45" s="213" t="s">
        <v>39</v>
      </c>
      <c r="D45" s="214">
        <v>8</v>
      </c>
      <c r="E45" s="214">
        <v>356</v>
      </c>
      <c r="F45" s="214" t="s">
        <v>192</v>
      </c>
      <c r="G45" s="214"/>
      <c r="H45" s="214"/>
      <c r="I45" s="277"/>
      <c r="J45" s="277"/>
      <c r="K45" s="452">
        <f>IF(
   J35=1,
   17.42+(16.9*K35),
   IF(J35&lt;&gt;0,17.42+(16.62*(J35-1)+(16.9*K35)),17.73+16.9*(K35-1))
)</f>
        <v>134.88</v>
      </c>
      <c r="L45" s="214"/>
      <c r="M45" s="215" t="s">
        <v>194</v>
      </c>
      <c r="N45" s="14" t="s">
        <v>194</v>
      </c>
      <c r="O45" s="1">
        <v>78.59</v>
      </c>
      <c r="P45" s="1">
        <f t="shared" ref="P45:P55" si="17">IF(D45&gt;0,1,)</f>
        <v>1</v>
      </c>
      <c r="AT45" s="177"/>
      <c r="AU45" s="177"/>
      <c r="AV45" s="177"/>
      <c r="AW45" s="177"/>
      <c r="AX45" s="177"/>
      <c r="AY45" s="99"/>
      <c r="AZ45" s="99"/>
      <c r="BA45" s="99"/>
      <c r="BB45" s="99"/>
      <c r="ES45" s="60">
        <f>17.73</f>
        <v>17.73</v>
      </c>
      <c r="ET45" s="60">
        <f>(16.9*7)</f>
        <v>118.29999999999998</v>
      </c>
      <c r="EU45" s="60"/>
      <c r="EV45" s="60">
        <f>SUBTOTAL(9,ES45:EU45)</f>
        <v>136.02999999999997</v>
      </c>
      <c r="EW45" s="60"/>
    </row>
    <row r="46" spans="2:153" ht="20.25" thickBot="1" x14ac:dyDescent="0.35">
      <c r="B46" s="10"/>
      <c r="C46" s="213" t="s">
        <v>46</v>
      </c>
      <c r="D46" s="217">
        <v>3</v>
      </c>
      <c r="E46" s="217">
        <v>334</v>
      </c>
      <c r="F46" s="217" t="s">
        <v>192</v>
      </c>
      <c r="G46" s="217">
        <v>5</v>
      </c>
      <c r="H46" s="217">
        <v>394</v>
      </c>
      <c r="I46" s="217" t="s">
        <v>192</v>
      </c>
      <c r="J46" s="217"/>
      <c r="K46" s="217"/>
      <c r="L46" s="217"/>
      <c r="M46" s="218" t="s">
        <v>298</v>
      </c>
      <c r="N46" s="14"/>
      <c r="O46" s="1">
        <v>72.5</v>
      </c>
      <c r="P46" s="1">
        <f t="shared" si="17"/>
        <v>1</v>
      </c>
      <c r="ES46" s="60">
        <f>17.42</f>
        <v>17.420000000000002</v>
      </c>
      <c r="ET46" s="60">
        <f>(16.62*2)</f>
        <v>33.24</v>
      </c>
      <c r="EU46" s="60">
        <f>(18.12*5)</f>
        <v>90.600000000000009</v>
      </c>
      <c r="EV46" s="60">
        <f>SUBTOTAL(9,ES46:EU46)</f>
        <v>141.26000000000002</v>
      </c>
      <c r="EW46" s="60"/>
    </row>
    <row r="47" spans="2:153" ht="20.25" thickBot="1" x14ac:dyDescent="0.35">
      <c r="B47" s="10"/>
      <c r="C47" s="213" t="s">
        <v>51</v>
      </c>
      <c r="D47" s="217">
        <v>2</v>
      </c>
      <c r="E47" s="217">
        <v>394</v>
      </c>
      <c r="F47" s="217" t="s">
        <v>192</v>
      </c>
      <c r="G47" s="217">
        <v>6</v>
      </c>
      <c r="H47" s="217">
        <v>378</v>
      </c>
      <c r="I47" s="217" t="s">
        <v>192</v>
      </c>
      <c r="J47" s="217"/>
      <c r="K47" s="217"/>
      <c r="L47" s="217"/>
      <c r="M47" s="218" t="s">
        <v>299</v>
      </c>
      <c r="N47" s="14"/>
      <c r="O47" s="1">
        <v>66.22</v>
      </c>
      <c r="P47" s="1">
        <f t="shared" si="17"/>
        <v>1</v>
      </c>
      <c r="ES47" s="60">
        <f>19</f>
        <v>19</v>
      </c>
      <c r="ET47" s="60">
        <f>18.12</f>
        <v>18.12</v>
      </c>
      <c r="EU47" s="60">
        <f>6*17.44</f>
        <v>104.64000000000001</v>
      </c>
      <c r="EV47" s="60">
        <f>SUBTOTAL(9,ES47:EU47)</f>
        <v>141.76000000000002</v>
      </c>
      <c r="EW47" s="60"/>
    </row>
    <row r="48" spans="2:153" ht="20.25" thickBot="1" x14ac:dyDescent="0.35">
      <c r="B48" s="10"/>
      <c r="C48" s="213" t="s">
        <v>55</v>
      </c>
      <c r="D48" s="217">
        <v>8</v>
      </c>
      <c r="E48" s="217">
        <v>378</v>
      </c>
      <c r="F48" s="217" t="s">
        <v>192</v>
      </c>
      <c r="G48" s="217"/>
      <c r="H48" s="217"/>
      <c r="I48" s="217"/>
      <c r="J48" s="217"/>
      <c r="K48" s="217"/>
      <c r="L48" s="217"/>
      <c r="M48" s="218" t="s">
        <v>300</v>
      </c>
      <c r="N48" s="14"/>
      <c r="O48" s="1">
        <v>47.86</v>
      </c>
      <c r="P48" s="1">
        <f t="shared" si="17"/>
        <v>1</v>
      </c>
      <c r="ES48" s="60">
        <f>18.33</f>
        <v>18.329999999999998</v>
      </c>
      <c r="ET48" s="60">
        <f>17.44*7</f>
        <v>122.08000000000001</v>
      </c>
      <c r="EU48" s="60"/>
      <c r="EV48" s="60">
        <f>SUBTOTAL(9,ES48:EU48)</f>
        <v>140.41000000000003</v>
      </c>
      <c r="EW48" s="60"/>
    </row>
    <row r="49" spans="2:153" ht="20.25" thickBot="1" x14ac:dyDescent="0.35">
      <c r="B49" s="10"/>
      <c r="C49" s="213" t="s">
        <v>68</v>
      </c>
      <c r="D49" s="219"/>
      <c r="E49" s="219"/>
      <c r="F49" s="219"/>
      <c r="G49" s="219"/>
      <c r="H49" s="217"/>
      <c r="I49" s="217"/>
      <c r="J49" s="217"/>
      <c r="K49" s="217"/>
      <c r="L49" s="217"/>
      <c r="M49" s="218"/>
      <c r="N49" s="14">
        <v>16.36</v>
      </c>
      <c r="O49" s="1">
        <v>44.21</v>
      </c>
      <c r="P49" s="1">
        <f t="shared" si="17"/>
        <v>0</v>
      </c>
    </row>
    <row r="50" spans="2:153" ht="20.25" thickBot="1" x14ac:dyDescent="0.35">
      <c r="B50" s="10"/>
      <c r="C50" s="213" t="s">
        <v>73</v>
      </c>
      <c r="D50" s="217"/>
      <c r="E50" s="217"/>
      <c r="F50" s="217"/>
      <c r="G50" s="217"/>
      <c r="H50" s="217"/>
      <c r="I50" s="217"/>
      <c r="J50" s="217"/>
      <c r="K50" s="217"/>
      <c r="L50" s="217"/>
      <c r="M50" s="218"/>
      <c r="N50" s="14"/>
      <c r="O50" s="1">
        <v>41.05</v>
      </c>
      <c r="P50" s="1">
        <f t="shared" si="17"/>
        <v>0</v>
      </c>
    </row>
    <row r="51" spans="2:153" ht="20.25" thickBot="1" x14ac:dyDescent="0.35">
      <c r="B51" s="10"/>
      <c r="C51" s="213" t="s">
        <v>84</v>
      </c>
      <c r="D51" s="217"/>
      <c r="E51" s="217"/>
      <c r="F51" s="217"/>
      <c r="G51" s="217"/>
      <c r="H51" s="217"/>
      <c r="I51" s="217"/>
      <c r="J51" s="217"/>
      <c r="K51" s="217"/>
      <c r="L51" s="217"/>
      <c r="M51" s="218"/>
      <c r="N51" s="14"/>
      <c r="O51" s="1" t="s">
        <v>75</v>
      </c>
      <c r="P51" s="1">
        <f t="shared" si="17"/>
        <v>0</v>
      </c>
    </row>
    <row r="52" spans="2:153" ht="20.25" thickBot="1" x14ac:dyDescent="0.35">
      <c r="B52" s="10"/>
      <c r="C52" s="213" t="s">
        <v>92</v>
      </c>
      <c r="D52" s="217"/>
      <c r="E52" s="217"/>
      <c r="F52" s="217"/>
      <c r="G52" s="217"/>
      <c r="H52" s="217"/>
      <c r="I52" s="217"/>
      <c r="J52" s="217"/>
      <c r="K52" s="217"/>
      <c r="L52" s="217"/>
      <c r="M52" s="218"/>
      <c r="N52" s="14"/>
      <c r="O52" s="1" t="s">
        <v>75</v>
      </c>
      <c r="P52" s="1">
        <f t="shared" si="17"/>
        <v>0</v>
      </c>
    </row>
    <row r="53" spans="2:153" ht="20.25" thickBot="1" x14ac:dyDescent="0.35">
      <c r="B53" s="10"/>
      <c r="C53" s="213" t="s">
        <v>98</v>
      </c>
      <c r="D53" s="219"/>
      <c r="E53" s="219"/>
      <c r="F53" s="219"/>
      <c r="G53" s="219"/>
      <c r="H53" s="217"/>
      <c r="I53" s="217"/>
      <c r="J53" s="217"/>
      <c r="K53" s="217"/>
      <c r="L53" s="217"/>
      <c r="M53" s="218"/>
      <c r="N53" s="14"/>
      <c r="O53" s="1" t="s">
        <v>75</v>
      </c>
      <c r="P53" s="1">
        <f t="shared" si="17"/>
        <v>0</v>
      </c>
    </row>
    <row r="54" spans="2:153" ht="20.25" thickBot="1" x14ac:dyDescent="0.35">
      <c r="B54" s="10"/>
      <c r="C54" s="213" t="s">
        <v>106</v>
      </c>
      <c r="D54" s="219"/>
      <c r="E54" s="219"/>
      <c r="F54" s="219"/>
      <c r="G54" s="219"/>
      <c r="H54" s="217"/>
      <c r="I54" s="217"/>
      <c r="J54" s="217"/>
      <c r="K54" s="217"/>
      <c r="L54" s="217"/>
      <c r="M54" s="218"/>
      <c r="N54" s="14"/>
      <c r="O54" s="1" t="s">
        <v>75</v>
      </c>
      <c r="P54" s="1">
        <f t="shared" si="17"/>
        <v>0</v>
      </c>
    </row>
    <row r="55" spans="2:153" x14ac:dyDescent="0.2">
      <c r="B55" s="10"/>
      <c r="C55" s="301"/>
      <c r="D55" s="302"/>
      <c r="E55" s="302"/>
      <c r="F55" s="302"/>
      <c r="G55" s="302"/>
      <c r="H55" s="302"/>
      <c r="I55" s="302"/>
      <c r="J55" s="302"/>
      <c r="K55" s="302"/>
      <c r="L55" s="302"/>
      <c r="M55" s="303"/>
      <c r="N55" s="14"/>
      <c r="O55" s="1" t="s">
        <v>75</v>
      </c>
      <c r="P55" s="1">
        <f t="shared" si="17"/>
        <v>0</v>
      </c>
    </row>
    <row r="56" spans="2:153" ht="13.5" thickBot="1" x14ac:dyDescent="0.25">
      <c r="B56" s="10"/>
      <c r="C56" s="304"/>
      <c r="D56" s="305"/>
      <c r="E56" s="305"/>
      <c r="F56" s="305"/>
      <c r="G56" s="305"/>
      <c r="H56" s="305"/>
      <c r="I56" s="305"/>
      <c r="J56" s="305"/>
      <c r="K56" s="305"/>
      <c r="L56" s="305"/>
      <c r="M56" s="306"/>
      <c r="N56" s="14"/>
      <c r="P56" s="1">
        <v>1</v>
      </c>
    </row>
    <row r="57" spans="2:153" ht="23.25" x14ac:dyDescent="0.35">
      <c r="B57" s="10"/>
      <c r="C57" s="307" t="s">
        <v>201</v>
      </c>
      <c r="D57" s="308"/>
      <c r="E57" s="308"/>
      <c r="F57" s="308"/>
      <c r="G57" s="308"/>
      <c r="H57" s="308"/>
      <c r="I57" s="308"/>
      <c r="J57" s="308"/>
      <c r="K57" s="308"/>
      <c r="L57" s="308"/>
      <c r="M57" s="309"/>
      <c r="N57" s="14"/>
      <c r="P57" s="1">
        <v>1</v>
      </c>
      <c r="ES57" s="60"/>
      <c r="ET57" s="60"/>
      <c r="EU57" s="60"/>
      <c r="EV57" s="60"/>
      <c r="EW57" s="60"/>
    </row>
    <row r="58" spans="2:153" x14ac:dyDescent="0.2">
      <c r="B58" s="10"/>
      <c r="C58" s="278" t="s">
        <v>301</v>
      </c>
      <c r="D58" s="279"/>
      <c r="E58" s="279"/>
      <c r="F58" s="279"/>
      <c r="G58" s="279"/>
      <c r="H58" s="279"/>
      <c r="I58" s="279"/>
      <c r="J58" s="279"/>
      <c r="K58" s="279"/>
      <c r="L58" s="279"/>
      <c r="M58" s="280"/>
      <c r="N58" s="14"/>
      <c r="P58" s="1">
        <f t="shared" ref="P58:P67" si="18">IF($C$58&lt;&gt;"",1,0)</f>
        <v>1</v>
      </c>
    </row>
    <row r="59" spans="2:153" ht="12" customHeight="1" x14ac:dyDescent="0.2">
      <c r="B59" s="10"/>
      <c r="C59" s="278"/>
      <c r="D59" s="279"/>
      <c r="E59" s="279"/>
      <c r="F59" s="279"/>
      <c r="G59" s="279"/>
      <c r="H59" s="279"/>
      <c r="I59" s="279"/>
      <c r="J59" s="279"/>
      <c r="K59" s="279"/>
      <c r="L59" s="279"/>
      <c r="M59" s="280"/>
      <c r="N59" s="14"/>
      <c r="P59" s="1">
        <f t="shared" si="18"/>
        <v>1</v>
      </c>
    </row>
    <row r="60" spans="2:153" ht="12" customHeight="1" x14ac:dyDescent="0.2">
      <c r="B60" s="10"/>
      <c r="C60" s="278"/>
      <c r="D60" s="279"/>
      <c r="E60" s="279"/>
      <c r="F60" s="279"/>
      <c r="G60" s="279"/>
      <c r="H60" s="279"/>
      <c r="I60" s="279"/>
      <c r="J60" s="279"/>
      <c r="K60" s="279"/>
      <c r="L60" s="279"/>
      <c r="M60" s="280"/>
      <c r="N60" s="14"/>
      <c r="P60" s="1">
        <f t="shared" si="18"/>
        <v>1</v>
      </c>
    </row>
    <row r="61" spans="2:153" ht="12" customHeight="1" x14ac:dyDescent="0.2">
      <c r="B61" s="10"/>
      <c r="C61" s="278"/>
      <c r="D61" s="279"/>
      <c r="E61" s="279"/>
      <c r="F61" s="279"/>
      <c r="G61" s="279"/>
      <c r="H61" s="279"/>
      <c r="I61" s="279"/>
      <c r="J61" s="279"/>
      <c r="K61" s="279"/>
      <c r="L61" s="279"/>
      <c r="M61" s="280"/>
      <c r="N61" s="14"/>
      <c r="P61" s="1">
        <f t="shared" si="18"/>
        <v>1</v>
      </c>
    </row>
    <row r="62" spans="2:153" ht="12" customHeight="1" x14ac:dyDescent="0.2">
      <c r="B62" s="10"/>
      <c r="C62" s="278"/>
      <c r="D62" s="279"/>
      <c r="E62" s="279"/>
      <c r="F62" s="279"/>
      <c r="G62" s="279"/>
      <c r="H62" s="279"/>
      <c r="I62" s="279"/>
      <c r="J62" s="279"/>
      <c r="K62" s="279"/>
      <c r="L62" s="279"/>
      <c r="M62" s="280"/>
      <c r="N62" s="14"/>
      <c r="P62" s="1">
        <f t="shared" si="18"/>
        <v>1</v>
      </c>
    </row>
    <row r="63" spans="2:153" ht="12" customHeight="1" x14ac:dyDescent="0.2">
      <c r="B63" s="10"/>
      <c r="C63" s="281"/>
      <c r="D63" s="282"/>
      <c r="E63" s="282"/>
      <c r="F63" s="282"/>
      <c r="G63" s="282"/>
      <c r="H63" s="282"/>
      <c r="I63" s="282"/>
      <c r="J63" s="282"/>
      <c r="K63" s="282"/>
      <c r="L63" s="282"/>
      <c r="M63" s="283"/>
      <c r="N63" s="14"/>
      <c r="P63" s="1">
        <f t="shared" si="18"/>
        <v>1</v>
      </c>
    </row>
    <row r="64" spans="2:153" ht="12" customHeight="1" x14ac:dyDescent="0.2">
      <c r="B64" s="10"/>
      <c r="C64" s="281"/>
      <c r="D64" s="282"/>
      <c r="E64" s="282"/>
      <c r="F64" s="282"/>
      <c r="G64" s="282"/>
      <c r="H64" s="282"/>
      <c r="I64" s="282"/>
      <c r="J64" s="282"/>
      <c r="K64" s="282"/>
      <c r="L64" s="282"/>
      <c r="M64" s="283"/>
      <c r="N64" s="14"/>
      <c r="P64" s="1">
        <f t="shared" si="18"/>
        <v>1</v>
      </c>
    </row>
    <row r="65" spans="2:60" ht="12" customHeight="1" x14ac:dyDescent="0.2">
      <c r="B65" s="10"/>
      <c r="C65" s="281"/>
      <c r="D65" s="282"/>
      <c r="E65" s="282"/>
      <c r="F65" s="282"/>
      <c r="G65" s="282"/>
      <c r="H65" s="282"/>
      <c r="I65" s="282"/>
      <c r="J65" s="282"/>
      <c r="K65" s="282"/>
      <c r="L65" s="282"/>
      <c r="M65" s="283"/>
      <c r="N65" s="14"/>
      <c r="P65" s="1">
        <f t="shared" si="18"/>
        <v>1</v>
      </c>
    </row>
    <row r="66" spans="2:60" ht="12" customHeight="1" x14ac:dyDescent="0.2">
      <c r="B66" s="10"/>
      <c r="C66" s="10"/>
      <c r="D66" s="220"/>
      <c r="E66" s="220"/>
      <c r="F66" s="220"/>
      <c r="G66" s="220"/>
      <c r="H66" s="220"/>
      <c r="I66" s="220"/>
      <c r="J66" s="220"/>
      <c r="K66" s="220"/>
      <c r="L66" s="220"/>
      <c r="M66" s="14"/>
      <c r="N66" s="14"/>
      <c r="P66" s="1">
        <f t="shared" si="18"/>
        <v>1</v>
      </c>
    </row>
    <row r="67" spans="2:60" ht="12" customHeight="1" x14ac:dyDescent="0.2">
      <c r="B67" s="10"/>
      <c r="C67" s="10"/>
      <c r="D67" s="220"/>
      <c r="E67" s="220"/>
      <c r="F67" s="220"/>
      <c r="G67" s="220"/>
      <c r="H67" s="220"/>
      <c r="I67" s="220"/>
      <c r="J67" s="220"/>
      <c r="K67" s="220"/>
      <c r="L67" s="220"/>
      <c r="M67" s="14"/>
      <c r="N67" s="14"/>
      <c r="P67" s="1">
        <f t="shared" si="18"/>
        <v>1</v>
      </c>
    </row>
    <row r="68" spans="2:60" ht="15" customHeight="1" x14ac:dyDescent="0.2">
      <c r="B68" s="10"/>
      <c r="C68" s="284"/>
      <c r="D68" s="285"/>
      <c r="E68" s="285"/>
      <c r="F68" s="285"/>
      <c r="G68" s="285"/>
      <c r="H68" s="285"/>
      <c r="I68" s="285"/>
      <c r="J68" s="285"/>
      <c r="K68" s="285"/>
      <c r="L68" s="285"/>
      <c r="M68" s="286"/>
      <c r="N68" s="14"/>
      <c r="P68" s="1">
        <v>1</v>
      </c>
    </row>
    <row r="69" spans="2:60" ht="15.75" customHeight="1" x14ac:dyDescent="0.2">
      <c r="B69" s="10"/>
      <c r="C69" s="287"/>
      <c r="D69" s="288"/>
      <c r="E69" s="288"/>
      <c r="F69" s="288"/>
      <c r="G69" s="288"/>
      <c r="H69" s="288"/>
      <c r="I69" s="288"/>
      <c r="J69" s="288"/>
      <c r="K69" s="288"/>
      <c r="L69" s="288"/>
      <c r="M69" s="289"/>
      <c r="N69" s="14"/>
      <c r="P69" s="1">
        <v>1</v>
      </c>
    </row>
    <row r="70" spans="2:60" ht="12.75" customHeight="1" x14ac:dyDescent="0.2">
      <c r="B70" s="10"/>
      <c r="C70" s="290" t="s">
        <v>203</v>
      </c>
      <c r="D70" s="291"/>
      <c r="E70" s="291"/>
      <c r="F70" s="291"/>
      <c r="G70" s="291"/>
      <c r="H70" s="291"/>
      <c r="I70" s="291"/>
      <c r="J70" s="291"/>
      <c r="K70" s="291"/>
      <c r="L70" s="291"/>
      <c r="M70" s="292"/>
      <c r="N70" s="14"/>
      <c r="P70" s="1">
        <v>1</v>
      </c>
    </row>
    <row r="71" spans="2:60" ht="13.5" thickBot="1" x14ac:dyDescent="0.25">
      <c r="B71" s="10"/>
      <c r="C71" s="293" t="s">
        <v>204</v>
      </c>
      <c r="D71" s="294"/>
      <c r="E71" s="294"/>
      <c r="F71" s="294"/>
      <c r="G71" s="294"/>
      <c r="H71" s="294"/>
      <c r="I71" s="294"/>
      <c r="J71" s="294"/>
      <c r="K71" s="294"/>
      <c r="L71" s="294"/>
      <c r="M71" s="295"/>
      <c r="N71" s="14"/>
      <c r="P71" s="1">
        <v>1</v>
      </c>
    </row>
    <row r="72" spans="2:60" ht="17.25" customHeight="1" thickBot="1" x14ac:dyDescent="0.3">
      <c r="B72" s="221"/>
      <c r="C72" s="70"/>
      <c r="D72" s="70" t="s">
        <v>205</v>
      </c>
      <c r="E72" s="70"/>
      <c r="F72" s="70" t="s">
        <v>206</v>
      </c>
      <c r="G72" s="70"/>
      <c r="H72" s="70"/>
      <c r="I72" s="70" t="s">
        <v>207</v>
      </c>
      <c r="J72" s="70" t="s">
        <v>208</v>
      </c>
      <c r="K72" s="70"/>
      <c r="L72" s="70"/>
      <c r="M72" s="70"/>
      <c r="N72" s="222"/>
      <c r="P72" s="1">
        <v>1</v>
      </c>
      <c r="BD72" s="223" t="s">
        <v>209</v>
      </c>
      <c r="BE72" s="224" t="s">
        <v>210</v>
      </c>
      <c r="BF72" s="224" t="s">
        <v>211</v>
      </c>
      <c r="BG72" s="225" t="s">
        <v>31</v>
      </c>
      <c r="BH72" s="226" t="s">
        <v>212</v>
      </c>
    </row>
    <row r="73" spans="2:60" x14ac:dyDescent="0.2">
      <c r="BD73" s="227" t="s">
        <v>213</v>
      </c>
      <c r="BE73" s="228">
        <v>40</v>
      </c>
      <c r="BF73" s="228">
        <v>0.06</v>
      </c>
      <c r="BG73" s="82">
        <v>0.4</v>
      </c>
      <c r="BH73" s="229">
        <v>6</v>
      </c>
    </row>
    <row r="74" spans="2:60" x14ac:dyDescent="0.2">
      <c r="B74" s="230" t="s">
        <v>214</v>
      </c>
      <c r="C74" s="231" t="s">
        <v>215</v>
      </c>
      <c r="D74" s="232"/>
      <c r="E74" s="232"/>
      <c r="F74" s="232"/>
      <c r="G74" s="232"/>
      <c r="H74" s="232"/>
      <c r="I74" s="232"/>
      <c r="J74" s="232"/>
      <c r="K74" s="232"/>
      <c r="L74" s="232"/>
      <c r="M74" s="232"/>
      <c r="N74" s="233"/>
      <c r="BD74" s="227" t="s">
        <v>216</v>
      </c>
      <c r="BE74" s="228">
        <v>40</v>
      </c>
      <c r="BF74" s="228">
        <v>0.06</v>
      </c>
      <c r="BG74" s="82">
        <v>0.5</v>
      </c>
      <c r="BH74" s="229">
        <v>6</v>
      </c>
    </row>
    <row r="75" spans="2:60" x14ac:dyDescent="0.2">
      <c r="C75" s="234" t="s">
        <v>217</v>
      </c>
      <c r="D75" s="235"/>
      <c r="E75" s="235"/>
      <c r="F75" s="235"/>
      <c r="G75" s="235"/>
      <c r="H75" s="235"/>
      <c r="I75" s="235"/>
      <c r="J75" s="235"/>
      <c r="K75" s="235"/>
      <c r="L75" s="235"/>
      <c r="M75" s="235"/>
      <c r="N75" s="236"/>
      <c r="BD75" s="227" t="s">
        <v>218</v>
      </c>
      <c r="BE75" s="228">
        <v>40</v>
      </c>
      <c r="BF75" s="228">
        <v>0.06</v>
      </c>
      <c r="BG75" s="82">
        <v>0.6</v>
      </c>
      <c r="BH75" s="229">
        <v>6</v>
      </c>
    </row>
    <row r="76" spans="2:60" x14ac:dyDescent="0.2">
      <c r="BD76" s="227" t="s">
        <v>219</v>
      </c>
      <c r="BE76" s="228">
        <v>20</v>
      </c>
      <c r="BF76" s="228">
        <v>0.17</v>
      </c>
      <c r="BG76" s="82">
        <v>5.6</v>
      </c>
      <c r="BH76" s="229">
        <v>3</v>
      </c>
    </row>
    <row r="77" spans="2:60" ht="27" customHeight="1" x14ac:dyDescent="0.2">
      <c r="C77" s="230" t="s">
        <v>220</v>
      </c>
      <c r="D77" s="237">
        <f>H10</f>
        <v>0</v>
      </c>
      <c r="F77" s="230">
        <f>F6</f>
        <v>0</v>
      </c>
      <c r="BD77" s="227" t="s">
        <v>221</v>
      </c>
      <c r="BE77" s="228">
        <v>40</v>
      </c>
      <c r="BF77" s="228">
        <v>0.06</v>
      </c>
      <c r="BG77" s="82">
        <v>0.7</v>
      </c>
      <c r="BH77" s="229">
        <v>6</v>
      </c>
    </row>
    <row r="78" spans="2:60" ht="16.5" customHeight="1" x14ac:dyDescent="0.2">
      <c r="BD78" s="227" t="s">
        <v>222</v>
      </c>
      <c r="BE78" s="228">
        <v>40</v>
      </c>
      <c r="BF78" s="228">
        <v>0.06</v>
      </c>
      <c r="BG78" s="82">
        <v>0.8</v>
      </c>
      <c r="BH78" s="229">
        <v>6</v>
      </c>
    </row>
    <row r="79" spans="2:60" ht="15" x14ac:dyDescent="0.25">
      <c r="C79" s="238" t="s">
        <v>223</v>
      </c>
      <c r="D79" s="239" t="s">
        <v>224</v>
      </c>
      <c r="E79" s="238" t="s">
        <v>225</v>
      </c>
      <c r="F79" s="240" t="s">
        <v>226</v>
      </c>
      <c r="G79" s="241" t="s">
        <v>227</v>
      </c>
      <c r="H79" s="242"/>
      <c r="I79" s="243" t="s">
        <v>225</v>
      </c>
      <c r="J79" s="241" t="s">
        <v>227</v>
      </c>
      <c r="K79" s="244"/>
      <c r="L79" s="243" t="s">
        <v>228</v>
      </c>
      <c r="M79" s="241"/>
      <c r="S79" s="245"/>
      <c r="T79" s="245"/>
      <c r="BD79" s="227" t="s">
        <v>229</v>
      </c>
      <c r="BE79" s="228">
        <v>40</v>
      </c>
      <c r="BF79" s="228">
        <v>7.0000000000000007E-2</v>
      </c>
      <c r="BG79" s="82">
        <v>0.85</v>
      </c>
      <c r="BH79" s="229">
        <v>6</v>
      </c>
    </row>
    <row r="80" spans="2:60" ht="15" x14ac:dyDescent="0.25">
      <c r="C80" s="246" t="str">
        <f t="shared" ref="C80:C90" si="19">C11</f>
        <v>334</v>
      </c>
      <c r="D80" s="247">
        <f t="shared" ref="D80:D88" si="20">VALUE(D11)</f>
        <v>1</v>
      </c>
      <c r="E80" s="248">
        <f t="shared" ref="E80:E90" si="21">F11</f>
        <v>62.65</v>
      </c>
      <c r="F80" s="249">
        <f t="shared" ref="F80:F90" si="22">IF(E80=0,0,1/E80)</f>
        <v>1.596169193934557E-2</v>
      </c>
      <c r="G80" s="250">
        <f>IF(E80=0,0,+H80/E80)</f>
        <v>0.12769353551476456</v>
      </c>
      <c r="H80" s="251">
        <f t="shared" ref="H80:H90" si="23">VALUE(E11)</f>
        <v>8</v>
      </c>
      <c r="I80" s="248"/>
      <c r="J80" s="252"/>
      <c r="K80" s="253"/>
      <c r="L80" s="243"/>
      <c r="M80" s="254">
        <f t="shared" ref="M80:M90" si="24">IF(L80=0,0,L80/E80)</f>
        <v>0</v>
      </c>
      <c r="S80" s="245"/>
      <c r="T80" s="245"/>
      <c r="BD80" s="227" t="s">
        <v>230</v>
      </c>
      <c r="BE80" s="228">
        <v>40</v>
      </c>
      <c r="BF80" s="228">
        <v>7.0000000000000007E-2</v>
      </c>
      <c r="BG80" s="82">
        <v>0.9</v>
      </c>
      <c r="BH80" s="229">
        <v>6</v>
      </c>
    </row>
    <row r="81" spans="3:60" ht="15" x14ac:dyDescent="0.25">
      <c r="C81" s="246" t="str">
        <f t="shared" si="19"/>
        <v>356</v>
      </c>
      <c r="D81" s="247">
        <f t="shared" si="20"/>
        <v>1</v>
      </c>
      <c r="E81" s="248">
        <f t="shared" si="21"/>
        <v>57.81</v>
      </c>
      <c r="F81" s="249">
        <f t="shared" si="22"/>
        <v>1.7298045320878742E-2</v>
      </c>
      <c r="G81" s="250">
        <f t="shared" ref="G81:G90" si="25">IF(E81=0,0,+H81/E81)</f>
        <v>0.70921985815602839</v>
      </c>
      <c r="H81" s="251">
        <f t="shared" si="23"/>
        <v>41</v>
      </c>
      <c r="I81" s="248"/>
      <c r="J81" s="252"/>
      <c r="K81" s="253"/>
      <c r="L81" s="243"/>
      <c r="M81" s="254">
        <f t="shared" si="24"/>
        <v>0</v>
      </c>
      <c r="S81" s="245"/>
      <c r="T81" s="245"/>
      <c r="BD81" s="227" t="s">
        <v>231</v>
      </c>
      <c r="BE81" s="228">
        <v>35</v>
      </c>
      <c r="BF81" s="228">
        <v>7.0000000000000007E-2</v>
      </c>
      <c r="BG81" s="82">
        <v>1</v>
      </c>
      <c r="BH81" s="229">
        <v>6</v>
      </c>
    </row>
    <row r="82" spans="3:60" ht="15" x14ac:dyDescent="0.25">
      <c r="C82" s="246" t="str">
        <f t="shared" si="19"/>
        <v>378</v>
      </c>
      <c r="D82" s="247">
        <f t="shared" si="20"/>
        <v>1</v>
      </c>
      <c r="E82" s="248">
        <f t="shared" si="21"/>
        <v>55.12</v>
      </c>
      <c r="F82" s="249">
        <f t="shared" si="22"/>
        <v>1.8142235123367198E-2</v>
      </c>
      <c r="G82" s="250">
        <f t="shared" si="25"/>
        <v>0.70754716981132082</v>
      </c>
      <c r="H82" s="251">
        <f t="shared" si="23"/>
        <v>39</v>
      </c>
      <c r="I82" s="248"/>
      <c r="J82" s="252"/>
      <c r="K82" s="253"/>
      <c r="L82" s="243"/>
      <c r="M82" s="254">
        <f t="shared" si="24"/>
        <v>0</v>
      </c>
      <c r="S82" s="245"/>
      <c r="T82" s="245"/>
      <c r="BD82" s="227" t="s">
        <v>232</v>
      </c>
      <c r="BE82" s="228">
        <v>25</v>
      </c>
      <c r="BF82" s="228">
        <v>0.12</v>
      </c>
      <c r="BG82" s="82">
        <v>1.2</v>
      </c>
      <c r="BH82" s="229">
        <v>6</v>
      </c>
    </row>
    <row r="83" spans="3:60" ht="15" x14ac:dyDescent="0.25">
      <c r="C83" s="246" t="str">
        <f t="shared" si="19"/>
        <v>394</v>
      </c>
      <c r="D83" s="247">
        <f t="shared" si="20"/>
        <v>1</v>
      </c>
      <c r="E83" s="248">
        <f t="shared" si="21"/>
        <v>51.15</v>
      </c>
      <c r="F83" s="249">
        <f t="shared" si="22"/>
        <v>1.9550342130987292E-2</v>
      </c>
      <c r="G83" s="250">
        <f t="shared" si="25"/>
        <v>0.23460410557184752</v>
      </c>
      <c r="H83" s="251">
        <f t="shared" si="23"/>
        <v>12</v>
      </c>
      <c r="I83" s="248"/>
      <c r="J83" s="252"/>
      <c r="K83" s="253"/>
      <c r="L83" s="243"/>
      <c r="M83" s="254">
        <f t="shared" si="24"/>
        <v>0</v>
      </c>
      <c r="S83" s="245"/>
      <c r="T83" s="245"/>
      <c r="BD83" s="227" t="s">
        <v>233</v>
      </c>
      <c r="BE83" s="228">
        <v>25</v>
      </c>
      <c r="BF83" s="228">
        <v>0.12</v>
      </c>
      <c r="BG83" s="82">
        <v>1.3</v>
      </c>
      <c r="BH83" s="229">
        <v>6</v>
      </c>
    </row>
    <row r="84" spans="3:60" ht="15" x14ac:dyDescent="0.25">
      <c r="C84" s="246">
        <f t="shared" si="19"/>
        <v>0</v>
      </c>
      <c r="D84" s="247">
        <f t="shared" si="20"/>
        <v>0</v>
      </c>
      <c r="E84" s="248">
        <f t="shared" si="21"/>
        <v>0</v>
      </c>
      <c r="F84" s="249">
        <f t="shared" si="22"/>
        <v>0</v>
      </c>
      <c r="G84" s="250">
        <f t="shared" si="25"/>
        <v>0</v>
      </c>
      <c r="H84" s="251">
        <f t="shared" si="23"/>
        <v>0</v>
      </c>
      <c r="I84" s="248"/>
      <c r="J84" s="252"/>
      <c r="K84" s="253"/>
      <c r="L84" s="243"/>
      <c r="M84" s="254">
        <f t="shared" si="24"/>
        <v>0</v>
      </c>
      <c r="S84" s="245"/>
      <c r="T84" s="245"/>
      <c r="BD84" s="227" t="s">
        <v>234</v>
      </c>
      <c r="BE84" s="228">
        <v>20</v>
      </c>
      <c r="BF84" s="228">
        <v>0.13</v>
      </c>
      <c r="BG84" s="82">
        <v>1.4</v>
      </c>
      <c r="BH84" s="229">
        <v>6</v>
      </c>
    </row>
    <row r="85" spans="3:60" ht="15" x14ac:dyDescent="0.25">
      <c r="C85" s="246">
        <f t="shared" si="19"/>
        <v>0</v>
      </c>
      <c r="D85" s="247">
        <f t="shared" si="20"/>
        <v>0</v>
      </c>
      <c r="E85" s="248">
        <f t="shared" si="21"/>
        <v>0</v>
      </c>
      <c r="F85" s="249">
        <f t="shared" si="22"/>
        <v>0</v>
      </c>
      <c r="G85" s="250">
        <f t="shared" si="25"/>
        <v>0</v>
      </c>
      <c r="H85" s="251">
        <f t="shared" si="23"/>
        <v>0</v>
      </c>
      <c r="I85" s="248"/>
      <c r="J85" s="252"/>
      <c r="K85" s="253"/>
      <c r="L85" s="243"/>
      <c r="M85" s="254">
        <f t="shared" si="24"/>
        <v>0</v>
      </c>
      <c r="S85" s="245"/>
      <c r="T85" s="245"/>
      <c r="BD85" s="227" t="s">
        <v>235</v>
      </c>
      <c r="BE85" s="228">
        <v>20</v>
      </c>
      <c r="BF85" s="228">
        <v>0.13</v>
      </c>
      <c r="BG85" s="82">
        <v>1.5</v>
      </c>
      <c r="BH85" s="229">
        <v>6</v>
      </c>
    </row>
    <row r="86" spans="3:60" ht="15" x14ac:dyDescent="0.25">
      <c r="C86" s="246">
        <f t="shared" si="19"/>
        <v>0</v>
      </c>
      <c r="D86" s="247">
        <f t="shared" si="20"/>
        <v>0</v>
      </c>
      <c r="E86" s="248">
        <f t="shared" si="21"/>
        <v>0</v>
      </c>
      <c r="F86" s="249">
        <f t="shared" si="22"/>
        <v>0</v>
      </c>
      <c r="G86" s="250">
        <f t="shared" si="25"/>
        <v>0</v>
      </c>
      <c r="H86" s="251">
        <f t="shared" si="23"/>
        <v>0</v>
      </c>
      <c r="I86" s="248"/>
      <c r="J86" s="252"/>
      <c r="K86" s="253"/>
      <c r="L86" s="243"/>
      <c r="M86" s="254">
        <f t="shared" si="24"/>
        <v>0</v>
      </c>
      <c r="S86" s="245"/>
      <c r="T86" s="245"/>
      <c r="BD86" s="227" t="s">
        <v>236</v>
      </c>
      <c r="BE86" s="228">
        <v>20</v>
      </c>
      <c r="BF86" s="228">
        <v>0.15</v>
      </c>
      <c r="BG86" s="82">
        <v>1.7</v>
      </c>
      <c r="BH86" s="229">
        <v>6</v>
      </c>
    </row>
    <row r="87" spans="3:60" ht="15" x14ac:dyDescent="0.25">
      <c r="C87" s="246">
        <f t="shared" si="19"/>
        <v>0</v>
      </c>
      <c r="D87" s="247">
        <f t="shared" si="20"/>
        <v>0</v>
      </c>
      <c r="E87" s="248">
        <f t="shared" si="21"/>
        <v>0</v>
      </c>
      <c r="F87" s="249">
        <f t="shared" si="22"/>
        <v>0</v>
      </c>
      <c r="G87" s="250">
        <f t="shared" si="25"/>
        <v>0</v>
      </c>
      <c r="H87" s="251">
        <f t="shared" si="23"/>
        <v>0</v>
      </c>
      <c r="I87" s="248"/>
      <c r="J87" s="252"/>
      <c r="K87" s="253"/>
      <c r="L87" s="243"/>
      <c r="M87" s="254">
        <f t="shared" si="24"/>
        <v>0</v>
      </c>
      <c r="S87" s="245"/>
      <c r="T87" s="245"/>
      <c r="BD87" s="227" t="s">
        <v>237</v>
      </c>
      <c r="BE87" s="228">
        <v>20</v>
      </c>
      <c r="BF87" s="228">
        <v>0.15</v>
      </c>
      <c r="BG87" s="82">
        <v>1.8</v>
      </c>
      <c r="BH87" s="229">
        <v>6</v>
      </c>
    </row>
    <row r="88" spans="3:60" ht="15" x14ac:dyDescent="0.25">
      <c r="C88" s="246">
        <f t="shared" si="19"/>
        <v>0</v>
      </c>
      <c r="D88" s="247">
        <f t="shared" si="20"/>
        <v>0</v>
      </c>
      <c r="E88" s="248">
        <f t="shared" si="21"/>
        <v>0</v>
      </c>
      <c r="F88" s="249">
        <f t="shared" si="22"/>
        <v>0</v>
      </c>
      <c r="G88" s="250">
        <f t="shared" si="25"/>
        <v>0</v>
      </c>
      <c r="H88" s="251">
        <f t="shared" si="23"/>
        <v>0</v>
      </c>
      <c r="I88" s="255"/>
      <c r="J88" s="252"/>
      <c r="K88" s="253"/>
      <c r="L88" s="243"/>
      <c r="M88" s="254">
        <f t="shared" si="24"/>
        <v>0</v>
      </c>
      <c r="S88" s="245"/>
      <c r="T88" s="245"/>
      <c r="BD88" s="227" t="s">
        <v>238</v>
      </c>
      <c r="BE88" s="228">
        <v>20</v>
      </c>
      <c r="BF88" s="228">
        <v>0.15</v>
      </c>
      <c r="BG88" s="82">
        <v>2</v>
      </c>
      <c r="BH88" s="229">
        <v>6</v>
      </c>
    </row>
    <row r="89" spans="3:60" ht="15" x14ac:dyDescent="0.25">
      <c r="C89" s="246">
        <f t="shared" si="19"/>
        <v>0</v>
      </c>
      <c r="D89" s="247"/>
      <c r="E89" s="248">
        <f t="shared" si="21"/>
        <v>0</v>
      </c>
      <c r="F89" s="249">
        <f t="shared" si="22"/>
        <v>0</v>
      </c>
      <c r="G89" s="250">
        <f t="shared" si="25"/>
        <v>0</v>
      </c>
      <c r="H89" s="251">
        <f t="shared" si="23"/>
        <v>0</v>
      </c>
      <c r="I89" s="255"/>
      <c r="J89" s="252"/>
      <c r="K89" s="253"/>
      <c r="L89" s="243"/>
      <c r="M89" s="254">
        <f t="shared" si="24"/>
        <v>0</v>
      </c>
      <c r="S89" s="245"/>
      <c r="T89" s="245"/>
      <c r="BD89" s="227" t="s">
        <v>239</v>
      </c>
      <c r="BE89" s="228">
        <v>18</v>
      </c>
      <c r="BF89" s="228">
        <v>0.15</v>
      </c>
      <c r="BG89" s="82">
        <v>2.2000000000000002</v>
      </c>
      <c r="BH89" s="229">
        <v>4</v>
      </c>
    </row>
    <row r="90" spans="3:60" ht="15" x14ac:dyDescent="0.25">
      <c r="C90" s="246">
        <f t="shared" si="19"/>
        <v>0</v>
      </c>
      <c r="D90" s="247"/>
      <c r="E90" s="248">
        <f t="shared" si="21"/>
        <v>0</v>
      </c>
      <c r="F90" s="249">
        <f t="shared" si="22"/>
        <v>0</v>
      </c>
      <c r="G90" s="250">
        <f t="shared" si="25"/>
        <v>0</v>
      </c>
      <c r="H90" s="251">
        <f t="shared" si="23"/>
        <v>0</v>
      </c>
      <c r="I90" s="255"/>
      <c r="J90" s="252"/>
      <c r="K90" s="253"/>
      <c r="L90" s="243"/>
      <c r="M90" s="254">
        <f t="shared" si="24"/>
        <v>0</v>
      </c>
      <c r="S90" s="245"/>
      <c r="T90" s="245"/>
      <c r="BD90" s="227" t="s">
        <v>240</v>
      </c>
      <c r="BE90" s="228">
        <v>18</v>
      </c>
      <c r="BF90" s="228">
        <v>0.15</v>
      </c>
      <c r="BG90" s="82">
        <v>2.2999999999999998</v>
      </c>
      <c r="BH90" s="229">
        <v>4</v>
      </c>
    </row>
    <row r="91" spans="3:60" ht="15" x14ac:dyDescent="0.25">
      <c r="C91" s="256"/>
      <c r="D91" s="257"/>
      <c r="E91" s="258"/>
      <c r="F91" s="258"/>
      <c r="G91" s="257">
        <f>SUM(G80:G90)</f>
        <v>1.7790646690539613</v>
      </c>
      <c r="H91" s="258"/>
      <c r="I91" s="257"/>
      <c r="J91" s="259"/>
      <c r="K91" s="260"/>
      <c r="L91" s="257"/>
      <c r="M91" s="261">
        <f>SUM(M80:M90)</f>
        <v>0</v>
      </c>
      <c r="BD91" s="227" t="s">
        <v>241</v>
      </c>
      <c r="BE91" s="228">
        <v>18</v>
      </c>
      <c r="BF91" s="228">
        <v>0.15</v>
      </c>
      <c r="BG91" s="82">
        <v>2.4</v>
      </c>
      <c r="BH91" s="229">
        <v>4</v>
      </c>
    </row>
    <row r="92" spans="3:60" ht="15.75" thickBot="1" x14ac:dyDescent="0.3">
      <c r="C92" s="262"/>
      <c r="D92" s="263"/>
      <c r="E92" s="264">
        <f>1/G91*100</f>
        <v>56.209311409222792</v>
      </c>
      <c r="F92" s="264"/>
      <c r="G92" s="265"/>
      <c r="H92" s="266"/>
      <c r="I92" s="264"/>
      <c r="J92" s="266"/>
      <c r="K92" s="267"/>
      <c r="L92" s="181"/>
      <c r="M92" s="181"/>
      <c r="BD92" s="227" t="s">
        <v>242</v>
      </c>
      <c r="BE92" s="228">
        <v>18</v>
      </c>
      <c r="BF92" s="228">
        <v>0.15</v>
      </c>
      <c r="BG92" s="82">
        <v>2.5</v>
      </c>
      <c r="BH92" s="229">
        <v>4</v>
      </c>
    </row>
    <row r="93" spans="3:60" x14ac:dyDescent="0.2">
      <c r="BD93" s="227" t="s">
        <v>243</v>
      </c>
      <c r="BE93" s="228">
        <v>18</v>
      </c>
      <c r="BF93" s="228">
        <v>0.16</v>
      </c>
      <c r="BG93" s="82">
        <v>2.7</v>
      </c>
      <c r="BH93" s="229">
        <v>4</v>
      </c>
    </row>
    <row r="94" spans="3:60" x14ac:dyDescent="0.2">
      <c r="BD94" s="227" t="s">
        <v>244</v>
      </c>
      <c r="BE94" s="228">
        <v>18</v>
      </c>
      <c r="BF94" s="228">
        <v>0.16</v>
      </c>
      <c r="BG94" s="82">
        <v>2.8</v>
      </c>
      <c r="BH94" s="229">
        <v>4</v>
      </c>
    </row>
    <row r="95" spans="3:60" x14ac:dyDescent="0.2">
      <c r="BD95" s="227" t="s">
        <v>245</v>
      </c>
      <c r="BE95" s="228">
        <v>18</v>
      </c>
      <c r="BF95" s="228">
        <v>0.16</v>
      </c>
      <c r="BG95" s="82">
        <v>2.9</v>
      </c>
      <c r="BH95" s="229">
        <v>4</v>
      </c>
    </row>
    <row r="96" spans="3:60" x14ac:dyDescent="0.2">
      <c r="BD96" s="227" t="s">
        <v>246</v>
      </c>
      <c r="BE96" s="228">
        <v>11</v>
      </c>
      <c r="BF96" s="228">
        <v>0.16</v>
      </c>
      <c r="BG96" s="82">
        <v>3</v>
      </c>
      <c r="BH96" s="229">
        <v>4</v>
      </c>
    </row>
    <row r="97" spans="56:60" x14ac:dyDescent="0.2">
      <c r="BD97" s="227" t="s">
        <v>247</v>
      </c>
      <c r="BE97" s="228">
        <v>11</v>
      </c>
      <c r="BF97" s="228">
        <v>0.16</v>
      </c>
      <c r="BG97" s="82">
        <v>3.5</v>
      </c>
      <c r="BH97" s="229">
        <v>3</v>
      </c>
    </row>
    <row r="98" spans="56:60" x14ac:dyDescent="0.2">
      <c r="BD98" s="227" t="s">
        <v>248</v>
      </c>
      <c r="BE98" s="228">
        <v>10</v>
      </c>
      <c r="BF98" s="228">
        <v>0.16</v>
      </c>
      <c r="BG98" s="82">
        <v>4</v>
      </c>
      <c r="BH98" s="229">
        <v>2</v>
      </c>
    </row>
    <row r="99" spans="56:60" x14ac:dyDescent="0.2">
      <c r="BD99" s="227" t="s">
        <v>249</v>
      </c>
      <c r="BE99" s="228">
        <v>10</v>
      </c>
      <c r="BF99" s="228">
        <v>0.17</v>
      </c>
      <c r="BG99" s="82">
        <v>4.2</v>
      </c>
      <c r="BH99" s="229">
        <v>2</v>
      </c>
    </row>
    <row r="100" spans="56:60" x14ac:dyDescent="0.2">
      <c r="BD100" s="227" t="s">
        <v>250</v>
      </c>
      <c r="BE100" s="228">
        <v>10</v>
      </c>
      <c r="BF100" s="228">
        <v>0.17</v>
      </c>
      <c r="BG100" s="82">
        <v>4.5</v>
      </c>
      <c r="BH100" s="229">
        <v>2</v>
      </c>
    </row>
    <row r="101" spans="56:60" x14ac:dyDescent="0.2">
      <c r="BD101" s="227" t="s">
        <v>251</v>
      </c>
      <c r="BE101" s="83">
        <v>10</v>
      </c>
      <c r="BF101" s="83">
        <v>0.17</v>
      </c>
      <c r="BG101" s="82">
        <v>4.8</v>
      </c>
      <c r="BH101" s="229">
        <v>2</v>
      </c>
    </row>
    <row r="102" spans="56:60" x14ac:dyDescent="0.2">
      <c r="BD102" s="227" t="s">
        <v>252</v>
      </c>
      <c r="BE102" s="83">
        <v>10</v>
      </c>
      <c r="BF102" s="83">
        <v>0.17</v>
      </c>
      <c r="BG102" s="82">
        <v>5</v>
      </c>
      <c r="BH102" s="229">
        <v>2</v>
      </c>
    </row>
    <row r="103" spans="56:60" x14ac:dyDescent="0.2">
      <c r="BD103" s="227" t="s">
        <v>253</v>
      </c>
      <c r="BE103" s="228">
        <v>10</v>
      </c>
      <c r="BF103" s="228"/>
      <c r="BG103" s="268">
        <v>5.5</v>
      </c>
      <c r="BH103" s="229">
        <v>2</v>
      </c>
    </row>
    <row r="104" spans="56:60" x14ac:dyDescent="0.2">
      <c r="BD104" s="227" t="s">
        <v>254</v>
      </c>
      <c r="BE104" s="83">
        <v>10</v>
      </c>
      <c r="BF104" s="83"/>
      <c r="BG104" s="268">
        <v>6</v>
      </c>
      <c r="BH104" s="229">
        <v>2</v>
      </c>
    </row>
    <row r="105" spans="56:60" x14ac:dyDescent="0.2">
      <c r="BD105" s="227" t="s">
        <v>255</v>
      </c>
      <c r="BE105" s="228">
        <v>45</v>
      </c>
      <c r="BF105" s="83"/>
      <c r="BG105" s="268"/>
      <c r="BH105" s="229">
        <v>4</v>
      </c>
    </row>
    <row r="106" spans="56:60" x14ac:dyDescent="0.2">
      <c r="BD106" s="227" t="s">
        <v>256</v>
      </c>
      <c r="BE106" s="228">
        <v>30</v>
      </c>
      <c r="BF106" s="83">
        <v>7.0000000000000007E-2</v>
      </c>
      <c r="BG106" s="268">
        <v>2</v>
      </c>
      <c r="BH106" s="229">
        <v>6</v>
      </c>
    </row>
    <row r="107" spans="56:60" x14ac:dyDescent="0.2">
      <c r="BD107" s="227" t="s">
        <v>257</v>
      </c>
      <c r="BE107" s="228">
        <v>91.44</v>
      </c>
      <c r="BF107" s="228">
        <v>7.0000000000000007E-2</v>
      </c>
      <c r="BG107" s="268">
        <v>0.15</v>
      </c>
      <c r="BH107" s="229">
        <v>6</v>
      </c>
    </row>
    <row r="108" spans="56:60" x14ac:dyDescent="0.2">
      <c r="BD108" s="227" t="s">
        <v>258</v>
      </c>
      <c r="BE108" s="228">
        <v>10</v>
      </c>
      <c r="BF108" s="228">
        <v>0.17</v>
      </c>
      <c r="BG108" s="268">
        <v>6</v>
      </c>
      <c r="BH108" s="229">
        <v>3</v>
      </c>
    </row>
    <row r="109" spans="56:60" x14ac:dyDescent="0.2">
      <c r="BD109" s="227" t="s">
        <v>259</v>
      </c>
      <c r="BE109" s="228">
        <v>50</v>
      </c>
      <c r="BF109" s="228"/>
      <c r="BG109" s="268">
        <v>0.3</v>
      </c>
      <c r="BH109" s="229">
        <v>2</v>
      </c>
    </row>
    <row r="110" spans="56:60" x14ac:dyDescent="0.2">
      <c r="BD110" s="227" t="s">
        <v>260</v>
      </c>
      <c r="BE110" s="228">
        <v>400</v>
      </c>
      <c r="BF110" s="83"/>
      <c r="BG110" s="268"/>
      <c r="BH110" s="229">
        <v>6</v>
      </c>
    </row>
    <row r="111" spans="56:60" x14ac:dyDescent="0.2">
      <c r="BD111" s="227" t="s">
        <v>261</v>
      </c>
      <c r="BE111" s="228">
        <v>50</v>
      </c>
      <c r="BF111" s="83"/>
      <c r="BG111" s="268"/>
      <c r="BH111" s="229">
        <v>6</v>
      </c>
    </row>
    <row r="112" spans="56:60" x14ac:dyDescent="0.2">
      <c r="BD112" s="227" t="s">
        <v>262</v>
      </c>
      <c r="BE112" s="228">
        <v>25</v>
      </c>
      <c r="BF112" s="228"/>
      <c r="BG112" s="268"/>
      <c r="BH112" s="229">
        <v>4</v>
      </c>
    </row>
    <row r="113" spans="56:60" x14ac:dyDescent="0.2">
      <c r="BD113" s="227" t="s">
        <v>263</v>
      </c>
      <c r="BE113" s="228">
        <v>100</v>
      </c>
      <c r="BF113" s="228"/>
      <c r="BG113" s="268"/>
      <c r="BH113" s="229">
        <v>6</v>
      </c>
    </row>
    <row r="114" spans="56:60" x14ac:dyDescent="0.2">
      <c r="BD114" s="227" t="s">
        <v>264</v>
      </c>
      <c r="BE114" s="228">
        <v>50</v>
      </c>
      <c r="BF114" s="228"/>
      <c r="BG114" s="268"/>
      <c r="BH114" s="229">
        <v>4</v>
      </c>
    </row>
    <row r="115" spans="56:60" x14ac:dyDescent="0.2">
      <c r="BD115" s="227" t="s">
        <v>265</v>
      </c>
      <c r="BE115" s="228">
        <v>50</v>
      </c>
      <c r="BF115" s="228">
        <v>0.15</v>
      </c>
      <c r="BG115" s="268">
        <v>1.2</v>
      </c>
      <c r="BH115" s="229">
        <v>4</v>
      </c>
    </row>
    <row r="116" spans="56:60" x14ac:dyDescent="0.2">
      <c r="BD116" s="227" t="s">
        <v>266</v>
      </c>
      <c r="BE116" s="228">
        <v>50</v>
      </c>
      <c r="BF116" s="228"/>
      <c r="BG116" s="268"/>
      <c r="BH116" s="229">
        <v>2</v>
      </c>
    </row>
    <row r="117" spans="56:60" x14ac:dyDescent="0.2">
      <c r="BD117" s="227" t="s">
        <v>267</v>
      </c>
      <c r="BE117" s="228">
        <v>35</v>
      </c>
      <c r="BF117" s="228">
        <v>0.17</v>
      </c>
      <c r="BG117" s="268">
        <v>2</v>
      </c>
      <c r="BH117" s="229">
        <v>4</v>
      </c>
    </row>
    <row r="118" spans="56:60" x14ac:dyDescent="0.2">
      <c r="BD118" s="227" t="s">
        <v>268</v>
      </c>
      <c r="BE118" s="228">
        <v>50</v>
      </c>
      <c r="BF118" s="228"/>
      <c r="BG118" s="268"/>
      <c r="BH118" s="229">
        <v>6</v>
      </c>
    </row>
    <row r="119" spans="56:60" x14ac:dyDescent="0.2">
      <c r="BD119" s="227" t="s">
        <v>269</v>
      </c>
      <c r="BE119" s="228">
        <v>20</v>
      </c>
      <c r="BF119" s="228">
        <v>0.15</v>
      </c>
      <c r="BG119" s="268">
        <v>2</v>
      </c>
      <c r="BH119" s="229">
        <v>4</v>
      </c>
    </row>
    <row r="120" spans="56:60" x14ac:dyDescent="0.2">
      <c r="BD120" s="227" t="s">
        <v>270</v>
      </c>
      <c r="BE120" s="228">
        <v>25</v>
      </c>
      <c r="BF120" s="228">
        <v>0.17</v>
      </c>
      <c r="BG120" s="268">
        <v>1.2</v>
      </c>
      <c r="BH120" s="229">
        <v>4</v>
      </c>
    </row>
    <row r="121" spans="56:60" x14ac:dyDescent="0.2">
      <c r="BD121" s="227" t="s">
        <v>271</v>
      </c>
      <c r="BE121" s="228">
        <v>50</v>
      </c>
      <c r="BF121" s="228"/>
      <c r="BG121" s="268"/>
      <c r="BH121" s="229">
        <v>4</v>
      </c>
    </row>
    <row r="122" spans="56:60" x14ac:dyDescent="0.2">
      <c r="BD122" s="227" t="s">
        <v>272</v>
      </c>
      <c r="BE122" s="228">
        <v>50</v>
      </c>
      <c r="BF122" s="228"/>
      <c r="BG122" s="268"/>
      <c r="BH122" s="229">
        <v>4</v>
      </c>
    </row>
    <row r="123" spans="56:60" x14ac:dyDescent="0.2">
      <c r="BD123" s="227" t="s">
        <v>273</v>
      </c>
      <c r="BE123" s="228">
        <v>400</v>
      </c>
      <c r="BF123" s="228"/>
      <c r="BG123" s="268"/>
      <c r="BH123" s="229">
        <v>6</v>
      </c>
    </row>
    <row r="124" spans="56:60" x14ac:dyDescent="0.2">
      <c r="BD124" s="227" t="s">
        <v>274</v>
      </c>
      <c r="BE124" s="228">
        <v>60</v>
      </c>
      <c r="BF124" s="228"/>
      <c r="BG124" s="268"/>
      <c r="BH124" s="229">
        <v>10</v>
      </c>
    </row>
    <row r="125" spans="56:60" x14ac:dyDescent="0.2">
      <c r="BD125" s="227" t="s">
        <v>275</v>
      </c>
      <c r="BE125" s="228">
        <v>100</v>
      </c>
      <c r="BF125" s="228"/>
      <c r="BG125" s="268"/>
      <c r="BH125" s="229">
        <v>8</v>
      </c>
    </row>
    <row r="126" spans="56:60" x14ac:dyDescent="0.2">
      <c r="BD126" s="227" t="s">
        <v>276</v>
      </c>
      <c r="BE126" s="228">
        <v>50</v>
      </c>
      <c r="BF126" s="228"/>
      <c r="BG126" s="268"/>
      <c r="BH126" s="229">
        <v>6</v>
      </c>
    </row>
    <row r="127" spans="56:60" x14ac:dyDescent="0.2">
      <c r="BD127" s="227" t="s">
        <v>277</v>
      </c>
      <c r="BE127" s="228">
        <v>50</v>
      </c>
      <c r="BF127" s="228"/>
      <c r="BG127" s="268"/>
      <c r="BH127" s="229">
        <v>6</v>
      </c>
    </row>
    <row r="128" spans="56:60" x14ac:dyDescent="0.2">
      <c r="BD128" s="227" t="s">
        <v>278</v>
      </c>
      <c r="BE128" s="228">
        <v>50</v>
      </c>
      <c r="BF128" s="228"/>
      <c r="BG128" s="268"/>
      <c r="BH128" s="229">
        <v>4</v>
      </c>
    </row>
    <row r="129" spans="56:60" x14ac:dyDescent="0.2">
      <c r="BD129" s="227" t="s">
        <v>279</v>
      </c>
      <c r="BE129" s="228">
        <v>100</v>
      </c>
      <c r="BF129" s="269">
        <v>0.15</v>
      </c>
      <c r="BG129" s="268">
        <v>2</v>
      </c>
      <c r="BH129" s="229">
        <v>6</v>
      </c>
    </row>
    <row r="130" spans="56:60" x14ac:dyDescent="0.2">
      <c r="BD130" s="227" t="s">
        <v>280</v>
      </c>
      <c r="BE130" s="228">
        <v>50</v>
      </c>
      <c r="BF130" s="269">
        <v>0.16</v>
      </c>
      <c r="BG130" s="268">
        <v>3</v>
      </c>
      <c r="BH130" s="229">
        <v>6</v>
      </c>
    </row>
    <row r="131" spans="56:60" x14ac:dyDescent="0.2">
      <c r="BD131" s="227" t="s">
        <v>281</v>
      </c>
      <c r="BE131" s="228">
        <v>40</v>
      </c>
      <c r="BF131" s="269">
        <v>0.16</v>
      </c>
      <c r="BG131" s="268">
        <v>4</v>
      </c>
      <c r="BH131" s="229">
        <v>6</v>
      </c>
    </row>
    <row r="132" spans="56:60" x14ac:dyDescent="0.2">
      <c r="BD132" s="270" t="s">
        <v>282</v>
      </c>
      <c r="BE132" s="228">
        <v>30</v>
      </c>
      <c r="BF132" s="269">
        <v>0.17</v>
      </c>
      <c r="BG132" s="233">
        <v>5</v>
      </c>
      <c r="BH132" s="271">
        <v>3</v>
      </c>
    </row>
    <row r="133" spans="56:60" x14ac:dyDescent="0.2">
      <c r="BD133" s="227" t="s">
        <v>283</v>
      </c>
      <c r="BE133" s="228">
        <v>25</v>
      </c>
      <c r="BF133" s="269">
        <v>0.17</v>
      </c>
      <c r="BG133" s="268">
        <v>7</v>
      </c>
      <c r="BH133" s="229">
        <v>3</v>
      </c>
    </row>
    <row r="134" spans="56:60" x14ac:dyDescent="0.2">
      <c r="BD134" s="227" t="s">
        <v>284</v>
      </c>
      <c r="BE134" s="228">
        <v>90</v>
      </c>
      <c r="BF134" s="269"/>
      <c r="BG134" s="268"/>
      <c r="BH134" s="229">
        <v>6</v>
      </c>
    </row>
    <row r="135" spans="56:60" ht="13.5" thickBot="1" x14ac:dyDescent="0.25">
      <c r="BD135" s="272" t="s">
        <v>285</v>
      </c>
      <c r="BE135" s="273">
        <v>100</v>
      </c>
      <c r="BF135" s="273"/>
      <c r="BG135" s="274"/>
      <c r="BH135" s="275">
        <v>2</v>
      </c>
    </row>
    <row r="444" spans="59:59" x14ac:dyDescent="0.2">
      <c r="BG444" s="276"/>
    </row>
  </sheetData>
  <autoFilter ref="P9:P72" xr:uid="{00000000-0009-0000-0000-000008000000}"/>
  <mergeCells count="115">
    <mergeCell ref="CT1:CV1"/>
    <mergeCell ref="CX1:CZ1"/>
    <mergeCell ref="CU2:CV2"/>
    <mergeCell ref="CY2:CZ2"/>
    <mergeCell ref="C3:E7"/>
    <mergeCell ref="AY3:BB3"/>
    <mergeCell ref="CU3:CV3"/>
    <mergeCell ref="CY3:CZ3"/>
    <mergeCell ref="AO4:AQ4"/>
    <mergeCell ref="AU4:AX4"/>
    <mergeCell ref="F9:G9"/>
    <mergeCell ref="H9:J9"/>
    <mergeCell ref="K9:M9"/>
    <mergeCell ref="AU9:AX9"/>
    <mergeCell ref="AY4:BB10"/>
    <mergeCell ref="CU4:CV4"/>
    <mergeCell ref="CY4:CZ4"/>
    <mergeCell ref="DJ4:DK4"/>
    <mergeCell ref="AU5:AX5"/>
    <mergeCell ref="CU5:CV5"/>
    <mergeCell ref="CY5:CZ5"/>
    <mergeCell ref="AU6:AX6"/>
    <mergeCell ref="DE9:DF9"/>
    <mergeCell ref="AU10:AX10"/>
    <mergeCell ref="CS10:CV10"/>
    <mergeCell ref="CX10:DA10"/>
    <mergeCell ref="H11:J12"/>
    <mergeCell ref="K11:M12"/>
    <mergeCell ref="CS11:CV11"/>
    <mergeCell ref="CX11:DA11"/>
    <mergeCell ref="AO7:AQ7"/>
    <mergeCell ref="L8:M8"/>
    <mergeCell ref="CS8:DA8"/>
    <mergeCell ref="DE11:DF11"/>
    <mergeCell ref="CT12:CV12"/>
    <mergeCell ref="CY12:DA12"/>
    <mergeCell ref="DE12:DF12"/>
    <mergeCell ref="H13:M13"/>
    <mergeCell ref="BD13:BL13"/>
    <mergeCell ref="BX13:CF13"/>
    <mergeCell ref="CT13:CV13"/>
    <mergeCell ref="CY13:DA13"/>
    <mergeCell ref="DE13:DF13"/>
    <mergeCell ref="CT14:CV14"/>
    <mergeCell ref="CY14:DA14"/>
    <mergeCell ref="DJ14:DK14"/>
    <mergeCell ref="BD15:BI15"/>
    <mergeCell ref="BN15:BU15"/>
    <mergeCell ref="BX15:CC15"/>
    <mergeCell ref="CH15:CO15"/>
    <mergeCell ref="CT15:CV15"/>
    <mergeCell ref="CY15:DA15"/>
    <mergeCell ref="DJ15:DK15"/>
    <mergeCell ref="BD14:BI14"/>
    <mergeCell ref="BN14:BV14"/>
    <mergeCell ref="BX14:CC14"/>
    <mergeCell ref="CH14:CP14"/>
    <mergeCell ref="CH16:CO16"/>
    <mergeCell ref="CT16:CV16"/>
    <mergeCell ref="CY16:DA16"/>
    <mergeCell ref="DE16:DF16"/>
    <mergeCell ref="H17:M17"/>
    <mergeCell ref="AO17:AP17"/>
    <mergeCell ref="AT17:AY17"/>
    <mergeCell ref="BD17:BI17"/>
    <mergeCell ref="BN17:BU17"/>
    <mergeCell ref="BX17:CC17"/>
    <mergeCell ref="H14:M16"/>
    <mergeCell ref="AT14:AY14"/>
    <mergeCell ref="AT16:AY16"/>
    <mergeCell ref="BD16:BI16"/>
    <mergeCell ref="BN16:BU16"/>
    <mergeCell ref="BX16:CC16"/>
    <mergeCell ref="CH17:CO17"/>
    <mergeCell ref="DE17:DF17"/>
    <mergeCell ref="DJ17:DK17"/>
    <mergeCell ref="H18:M21"/>
    <mergeCell ref="AO18:AP18"/>
    <mergeCell ref="AT18:AY18"/>
    <mergeCell ref="BN18:BU18"/>
    <mergeCell ref="CH18:CO18"/>
    <mergeCell ref="CT18:CV18"/>
    <mergeCell ref="CY18:DA18"/>
    <mergeCell ref="AT20:AY20"/>
    <mergeCell ref="BN20:BU20"/>
    <mergeCell ref="CH20:CO20"/>
    <mergeCell ref="AT21:AY21"/>
    <mergeCell ref="BN21:BU21"/>
    <mergeCell ref="CH21:CO21"/>
    <mergeCell ref="DJ18:DK18"/>
    <mergeCell ref="AT19:AY19"/>
    <mergeCell ref="BN19:BU19"/>
    <mergeCell ref="CH19:CO19"/>
    <mergeCell ref="CT19:CV19"/>
    <mergeCell ref="CY19:DA19"/>
    <mergeCell ref="CT21:CV21"/>
    <mergeCell ref="CY21:DA21"/>
    <mergeCell ref="AT22:AY22"/>
    <mergeCell ref="CT22:CV22"/>
    <mergeCell ref="CY22:DA22"/>
    <mergeCell ref="C23:M23"/>
    <mergeCell ref="BN23:BV27"/>
    <mergeCell ref="C25:E25"/>
    <mergeCell ref="J25:L25"/>
    <mergeCell ref="C58:M62"/>
    <mergeCell ref="C63:M65"/>
    <mergeCell ref="C68:M69"/>
    <mergeCell ref="C70:M70"/>
    <mergeCell ref="C71:M71"/>
    <mergeCell ref="F33:H35"/>
    <mergeCell ref="J33:K33"/>
    <mergeCell ref="F36:H38"/>
    <mergeCell ref="C43:M43"/>
    <mergeCell ref="C55:M56"/>
    <mergeCell ref="C57:M57"/>
  </mergeCells>
  <conditionalFormatting sqref="DE15">
    <cfRule type="cellIs" dxfId="1" priority="2" stopIfTrue="1" operator="greaterThan">
      <formula>12.5</formula>
    </cfRule>
  </conditionalFormatting>
  <conditionalFormatting sqref="DF15">
    <cfRule type="cellIs" dxfId="0" priority="1" stopIfTrue="1" operator="greaterThan">
      <formula>12.5</formula>
    </cfRule>
  </conditionalFormatting>
  <printOptions horizontalCentered="1"/>
  <pageMargins left="0.23622047244094491" right="0.23622047244094491" top="0.31496062992125984" bottom="0.23622047244094491" header="0.23622047244094491" footer="0.19685039370078741"/>
  <pageSetup paperSize="9" scale="65" fitToHeight="2" orientation="portrait" r:id="rId1"/>
  <headerFooter alignWithMargins="0">
    <oddFooter>&amp;L_x000D_&amp;1#&amp;"Aptos"&amp;10&amp;K000000 Classificação Privada</oddFooter>
  </headerFooter>
  <rowBreaks count="1" manualBreakCount="1">
    <brk id="72" min="1" max="1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4]!imprimir">
                <anchor moveWithCells="1" sizeWithCells="1">
                  <from>
                    <xdr:col>11</xdr:col>
                    <xdr:colOff>152400</xdr:colOff>
                    <xdr:row>0</xdr:row>
                    <xdr:rowOff>76200</xdr:rowOff>
                  </from>
                  <to>
                    <xdr:col>14</xdr:col>
                    <xdr:colOff>9525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4]!Módulo16.VOLTAR">
                <anchor moveWithCells="1" sizeWithCells="1">
                  <from>
                    <xdr:col>9</xdr:col>
                    <xdr:colOff>276225</xdr:colOff>
                    <xdr:row>0</xdr:row>
                    <xdr:rowOff>85725</xdr:rowOff>
                  </from>
                  <to>
                    <xdr:col>11</xdr:col>
                    <xdr:colOff>57150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F2C7D-13A8-4F6E-A124-44387C506346}">
  <sheetPr codeName="PLAN19" filterMode="1"/>
  <dimension ref="B1:ER414"/>
  <sheetViews>
    <sheetView showGridLines="0" showZeros="0" topLeftCell="A13" zoomScale="70" zoomScaleNormal="70" zoomScaleSheetLayoutView="70" workbookViewId="0">
      <selection activeCell="ET66" sqref="ET66"/>
    </sheetView>
  </sheetViews>
  <sheetFormatPr defaultColWidth="6.7109375" defaultRowHeight="12.75" x14ac:dyDescent="0.2"/>
  <cols>
    <col min="1" max="1" width="2.140625" style="29" customWidth="1"/>
    <col min="2" max="2" width="0.7109375" style="29" customWidth="1"/>
    <col min="3" max="3" width="14.5703125" style="29" customWidth="1"/>
    <col min="4" max="4" width="11.140625" style="29" customWidth="1"/>
    <col min="5" max="5" width="16.42578125" style="29" customWidth="1"/>
    <col min="6" max="6" width="18.28515625" style="29" customWidth="1"/>
    <col min="7" max="7" width="12.7109375" style="29" customWidth="1"/>
    <col min="8" max="8" width="22.140625" style="29" customWidth="1"/>
    <col min="9" max="9" width="9.42578125" style="29" customWidth="1"/>
    <col min="10" max="10" width="14.7109375" style="29" customWidth="1"/>
    <col min="11" max="11" width="17.42578125" style="29" customWidth="1"/>
    <col min="12" max="12" width="11.7109375" style="29" customWidth="1"/>
    <col min="13" max="13" width="11.28515625" style="29" customWidth="1"/>
    <col min="14" max="14" width="1" style="29" customWidth="1"/>
    <col min="15" max="15" width="1.140625" style="29" customWidth="1"/>
    <col min="16" max="16" width="2.85546875" style="29" customWidth="1"/>
    <col min="17" max="17" width="6.7109375" style="29" hidden="1" customWidth="1"/>
    <col min="18" max="18" width="2" style="29" hidden="1" customWidth="1"/>
    <col min="19" max="19" width="3.28515625" style="29" hidden="1" customWidth="1"/>
    <col min="20" max="23" width="7.140625" style="29" hidden="1" customWidth="1"/>
    <col min="24" max="24" width="0.42578125" style="29" hidden="1" customWidth="1"/>
    <col min="25" max="25" width="4.28515625" style="29" hidden="1" customWidth="1"/>
    <col min="26" max="36" width="7.140625" style="29" hidden="1" customWidth="1"/>
    <col min="37" max="37" width="10.42578125" style="29" hidden="1" customWidth="1"/>
    <col min="38" max="39" width="7.140625" style="29" hidden="1" customWidth="1"/>
    <col min="40" max="40" width="0.42578125" style="29" hidden="1" customWidth="1"/>
    <col min="41" max="41" width="24.85546875" style="29" hidden="1" customWidth="1"/>
    <col min="42" max="42" width="6.7109375" style="29" hidden="1" customWidth="1"/>
    <col min="43" max="43" width="7.42578125" style="29" hidden="1" customWidth="1"/>
    <col min="44" max="45" width="6.7109375" style="29" hidden="1" customWidth="1"/>
    <col min="46" max="46" width="11" style="29" hidden="1" customWidth="1"/>
    <col min="47" max="51" width="8.5703125" style="29" hidden="1" customWidth="1"/>
    <col min="52" max="52" width="7.7109375" style="29" hidden="1" customWidth="1"/>
    <col min="53" max="54" width="6.42578125" style="29" hidden="1" customWidth="1"/>
    <col min="55" max="55" width="0.42578125" style="29" hidden="1" customWidth="1"/>
    <col min="56" max="56" width="20.28515625" style="29" hidden="1" customWidth="1"/>
    <col min="57" max="57" width="21.28515625" style="29" hidden="1" customWidth="1"/>
    <col min="58" max="61" width="8.5703125" style="29" hidden="1" customWidth="1"/>
    <col min="62" max="62" width="13.85546875" style="29" hidden="1" customWidth="1"/>
    <col min="63" max="64" width="10.140625" style="29" hidden="1" customWidth="1"/>
    <col min="65" max="65" width="0.42578125" style="29" hidden="1" customWidth="1"/>
    <col min="66" max="66" width="11" style="29" hidden="1" customWidth="1"/>
    <col min="67" max="71" width="8.5703125" style="29" hidden="1" customWidth="1"/>
    <col min="72" max="72" width="7.5703125" style="29" hidden="1" customWidth="1"/>
    <col min="73" max="73" width="6.42578125" style="29" hidden="1" customWidth="1"/>
    <col min="74" max="74" width="9.28515625" style="29" hidden="1" customWidth="1"/>
    <col min="75" max="81" width="6.7109375" style="29" hidden="1" customWidth="1"/>
    <col min="82" max="84" width="10.140625" style="29" hidden="1" customWidth="1"/>
    <col min="85" max="98" width="6.7109375" style="29" hidden="1" customWidth="1"/>
    <col min="99" max="99" width="9" style="29" hidden="1" customWidth="1"/>
    <col min="100" max="100" width="10.5703125" style="29" hidden="1" customWidth="1"/>
    <col min="101" max="108" width="6.7109375" style="29" hidden="1" customWidth="1"/>
    <col min="109" max="110" width="11.5703125" style="29" hidden="1" customWidth="1"/>
    <col min="111" max="113" width="6.7109375" style="29" hidden="1" customWidth="1"/>
    <col min="114" max="114" width="26.42578125" style="29" hidden="1" customWidth="1"/>
    <col min="115" max="115" width="26.5703125" style="29" hidden="1" customWidth="1"/>
    <col min="116" max="116" width="9" style="29" hidden="1" customWidth="1"/>
    <col min="117" max="117" width="12.85546875" style="29" hidden="1" customWidth="1"/>
    <col min="118" max="118" width="9.140625" style="29" hidden="1" customWidth="1"/>
    <col min="119" max="119" width="22.140625" style="29" hidden="1" customWidth="1"/>
    <col min="120" max="120" width="12.42578125" style="29" hidden="1" customWidth="1"/>
    <col min="121" max="121" width="13.85546875" style="29" hidden="1" customWidth="1"/>
    <col min="122" max="148" width="6.7109375" style="29" hidden="1" customWidth="1"/>
    <col min="149" max="149" width="6.7109375" style="29" customWidth="1"/>
    <col min="150" max="150" width="8.85546875" style="29" bestFit="1" customWidth="1"/>
    <col min="151" max="151" width="9.7109375" style="29" bestFit="1" customWidth="1"/>
    <col min="152" max="177" width="6.7109375" style="29" customWidth="1"/>
    <col min="178" max="16384" width="6.7109375" style="29"/>
  </cols>
  <sheetData>
    <row r="1" spans="2:33" ht="36" customHeight="1" thickBot="1" x14ac:dyDescent="0.25"/>
    <row r="2" spans="2:33" ht="4.5" customHeight="1" x14ac:dyDescent="0.2">
      <c r="B2" s="466"/>
      <c r="C2" s="467"/>
      <c r="D2" s="467"/>
      <c r="E2" s="467"/>
      <c r="F2" s="467"/>
      <c r="G2" s="467"/>
      <c r="H2" s="467"/>
      <c r="I2" s="467"/>
      <c r="J2" s="467"/>
      <c r="K2" s="467"/>
      <c r="L2" s="467"/>
      <c r="M2" s="467"/>
      <c r="N2" s="468"/>
    </row>
    <row r="3" spans="2:33" ht="38.25" customHeight="1" x14ac:dyDescent="0.2">
      <c r="B3" s="469"/>
      <c r="C3" s="470" t="s">
        <v>3</v>
      </c>
      <c r="D3" s="471"/>
      <c r="E3" s="472"/>
      <c r="F3" s="473" t="s">
        <v>328</v>
      </c>
      <c r="G3" s="473"/>
      <c r="H3" s="474"/>
      <c r="I3" s="474"/>
      <c r="J3" s="475"/>
      <c r="K3" s="475"/>
      <c r="L3" s="475"/>
      <c r="M3" s="475"/>
      <c r="N3" s="476"/>
    </row>
    <row r="4" spans="2:33" ht="21.95" customHeight="1" x14ac:dyDescent="0.2">
      <c r="B4" s="469"/>
      <c r="C4" s="477"/>
      <c r="D4" s="478"/>
      <c r="E4" s="479"/>
      <c r="F4" s="480" t="s">
        <v>11</v>
      </c>
      <c r="G4" s="481"/>
      <c r="H4" s="482"/>
      <c r="K4" s="483" t="s">
        <v>12</v>
      </c>
      <c r="L4" s="484"/>
      <c r="N4" s="476"/>
    </row>
    <row r="5" spans="2:33" ht="21.95" customHeight="1" x14ac:dyDescent="0.2">
      <c r="B5" s="469"/>
      <c r="C5" s="477"/>
      <c r="D5" s="478"/>
      <c r="E5" s="479"/>
      <c r="F5" s="27"/>
      <c r="G5" s="481"/>
      <c r="H5" s="485"/>
      <c r="K5" s="483" t="s">
        <v>38</v>
      </c>
      <c r="L5" s="484"/>
      <c r="N5" s="476"/>
      <c r="AC5" s="486"/>
      <c r="AD5" s="486"/>
      <c r="AE5" s="486"/>
      <c r="AF5" s="486"/>
      <c r="AG5" s="486"/>
    </row>
    <row r="6" spans="2:33" ht="21.95" customHeight="1" x14ac:dyDescent="0.2">
      <c r="B6" s="469"/>
      <c r="C6" s="477"/>
      <c r="D6" s="478"/>
      <c r="E6" s="479"/>
      <c r="F6" s="480"/>
      <c r="G6" s="481"/>
      <c r="H6" s="482"/>
      <c r="K6" s="483" t="s">
        <v>45</v>
      </c>
      <c r="L6" s="484"/>
      <c r="N6" s="476"/>
      <c r="S6" s="487"/>
      <c r="T6" s="487"/>
      <c r="U6" s="487"/>
      <c r="V6" s="487"/>
      <c r="W6" s="487"/>
      <c r="X6" s="487"/>
      <c r="Y6" s="487"/>
      <c r="Z6" s="487"/>
      <c r="AA6" s="487"/>
      <c r="AB6" s="487"/>
      <c r="AC6" s="486"/>
      <c r="AD6" s="486"/>
      <c r="AE6" s="486"/>
      <c r="AF6" s="486"/>
      <c r="AG6" s="486"/>
    </row>
    <row r="7" spans="2:33" ht="21.95" customHeight="1" x14ac:dyDescent="0.2">
      <c r="B7" s="469"/>
      <c r="C7" s="477"/>
      <c r="D7" s="478"/>
      <c r="E7" s="479"/>
      <c r="F7" s="27"/>
      <c r="G7" s="488" t="s">
        <v>50</v>
      </c>
      <c r="H7" s="66"/>
      <c r="N7" s="476"/>
      <c r="S7" s="487"/>
      <c r="T7" s="487"/>
      <c r="U7" s="487"/>
      <c r="V7" s="487"/>
      <c r="W7" s="487"/>
      <c r="X7" s="487"/>
      <c r="Y7" s="487"/>
      <c r="Z7" s="487"/>
      <c r="AA7" s="487"/>
      <c r="AB7" s="487"/>
      <c r="AC7" s="486"/>
      <c r="AD7" s="486">
        <v>4</v>
      </c>
      <c r="AE7" s="486"/>
      <c r="AF7" s="486"/>
      <c r="AG7" s="486">
        <v>3.7567567567567566</v>
      </c>
    </row>
    <row r="8" spans="2:33" ht="11.25" customHeight="1" thickBot="1" x14ac:dyDescent="0.25">
      <c r="B8" s="469"/>
      <c r="C8" s="489"/>
      <c r="D8" s="490"/>
      <c r="E8" s="491"/>
      <c r="F8" s="490"/>
      <c r="G8" s="492" t="s">
        <v>54</v>
      </c>
      <c r="H8" s="493">
        <v>44354.544166666667</v>
      </c>
      <c r="I8" s="490"/>
      <c r="J8" s="494"/>
      <c r="K8" s="495"/>
      <c r="L8" s="496"/>
      <c r="M8" s="496"/>
      <c r="N8" s="476"/>
      <c r="S8" s="487"/>
      <c r="T8" s="487"/>
      <c r="U8" s="487"/>
      <c r="V8" s="487"/>
      <c r="W8" s="487"/>
      <c r="X8" s="487"/>
      <c r="Y8" s="487"/>
      <c r="Z8" s="487"/>
      <c r="AA8" s="487"/>
      <c r="AB8" s="487"/>
      <c r="AC8" s="486"/>
      <c r="AD8" s="486">
        <v>5.6818181818181817</v>
      </c>
      <c r="AE8" s="486"/>
      <c r="AF8" s="486"/>
      <c r="AG8" s="486">
        <v>5.2631578947368425</v>
      </c>
    </row>
    <row r="9" spans="2:33" ht="15.75" thickBot="1" x14ac:dyDescent="0.25">
      <c r="B9" s="469"/>
      <c r="C9" s="497" t="s">
        <v>62</v>
      </c>
      <c r="D9" s="498" t="s">
        <v>63</v>
      </c>
      <c r="E9" s="498" t="s">
        <v>64</v>
      </c>
      <c r="F9" s="499" t="s">
        <v>65</v>
      </c>
      <c r="G9" s="500"/>
      <c r="H9" s="499" t="s">
        <v>66</v>
      </c>
      <c r="I9" s="501"/>
      <c r="J9" s="500"/>
      <c r="K9" s="499" t="s">
        <v>67</v>
      </c>
      <c r="L9" s="501"/>
      <c r="M9" s="500"/>
      <c r="N9" s="476"/>
      <c r="S9" s="487"/>
      <c r="T9" s="487"/>
      <c r="U9" s="487"/>
      <c r="V9" s="487"/>
      <c r="W9" s="487"/>
      <c r="X9" s="487"/>
      <c r="Y9" s="487"/>
      <c r="Z9" s="487"/>
      <c r="AA9" s="487"/>
      <c r="AB9" s="487"/>
      <c r="AC9" s="486"/>
      <c r="AD9" s="486">
        <v>20.227272727272727</v>
      </c>
      <c r="AE9" s="486"/>
      <c r="AF9" s="486"/>
      <c r="AG9" s="486">
        <v>17.795163584637269</v>
      </c>
    </row>
    <row r="10" spans="2:33" ht="6.75" customHeight="1" x14ac:dyDescent="0.2">
      <c r="B10" s="469"/>
      <c r="C10" s="502"/>
      <c r="D10" s="503"/>
      <c r="E10" s="504"/>
      <c r="F10" s="505"/>
      <c r="G10" s="506"/>
      <c r="H10" s="89"/>
      <c r="I10" s="90"/>
      <c r="J10" s="90"/>
      <c r="K10" s="466"/>
      <c r="L10" s="91"/>
      <c r="M10" s="506"/>
      <c r="N10" s="476"/>
      <c r="P10" s="29">
        <v>1</v>
      </c>
      <c r="S10" s="487"/>
      <c r="T10" s="487"/>
      <c r="U10" s="487"/>
      <c r="V10" s="487"/>
      <c r="W10" s="487"/>
      <c r="X10" s="487"/>
      <c r="Y10" s="487"/>
      <c r="Z10" s="487"/>
      <c r="AA10" s="487"/>
      <c r="AB10" s="487"/>
      <c r="AC10" s="486"/>
      <c r="AD10" s="486"/>
      <c r="AE10" s="486"/>
      <c r="AF10" s="486"/>
      <c r="AG10" s="486"/>
    </row>
    <row r="11" spans="2:33" ht="15" customHeight="1" x14ac:dyDescent="0.2">
      <c r="B11" s="469"/>
      <c r="C11" s="507" t="s">
        <v>80</v>
      </c>
      <c r="D11" s="508">
        <v>1</v>
      </c>
      <c r="E11" s="508" t="s">
        <v>329</v>
      </c>
      <c r="F11" s="509">
        <v>32.54</v>
      </c>
      <c r="G11" s="510"/>
      <c r="H11" s="400" t="s">
        <v>330</v>
      </c>
      <c r="I11" s="401"/>
      <c r="J11" s="401"/>
      <c r="K11" s="511" t="s">
        <v>83</v>
      </c>
      <c r="L11" s="512"/>
      <c r="M11" s="513"/>
      <c r="N11" s="476"/>
      <c r="P11" s="29">
        <v>1</v>
      </c>
      <c r="S11" s="487"/>
      <c r="T11" s="487"/>
      <c r="U11" s="487"/>
      <c r="V11" s="487"/>
      <c r="W11" s="487"/>
      <c r="X11" s="487"/>
      <c r="Y11" s="487"/>
      <c r="Z11" s="487"/>
      <c r="AA11" s="487"/>
      <c r="AC11" s="486"/>
      <c r="AD11" s="486"/>
      <c r="AE11" s="486"/>
      <c r="AF11" s="486"/>
      <c r="AG11" s="486"/>
    </row>
    <row r="12" spans="2:33" ht="15" customHeight="1" thickBot="1" x14ac:dyDescent="0.25">
      <c r="B12" s="469"/>
      <c r="C12" s="507" t="s">
        <v>91</v>
      </c>
      <c r="D12" s="508">
        <v>1</v>
      </c>
      <c r="E12" s="508" t="s">
        <v>331</v>
      </c>
      <c r="F12" s="509">
        <v>31.7</v>
      </c>
      <c r="G12" s="510"/>
      <c r="H12" s="402"/>
      <c r="I12" s="403"/>
      <c r="J12" s="403"/>
      <c r="K12" s="514"/>
      <c r="L12" s="515"/>
      <c r="M12" s="516"/>
      <c r="N12" s="476"/>
      <c r="P12" s="29">
        <v>1</v>
      </c>
      <c r="S12" s="487"/>
      <c r="T12" s="487"/>
      <c r="U12" s="487"/>
      <c r="V12" s="487"/>
      <c r="W12" s="487"/>
      <c r="X12" s="487"/>
      <c r="Y12" s="487"/>
      <c r="Z12" s="487"/>
      <c r="AA12" s="487"/>
      <c r="AB12" s="517"/>
    </row>
    <row r="13" spans="2:33" ht="15" customHeight="1" thickBot="1" x14ac:dyDescent="0.25">
      <c r="B13" s="469"/>
      <c r="C13" s="507" t="s">
        <v>96</v>
      </c>
      <c r="D13" s="508">
        <v>1</v>
      </c>
      <c r="E13" s="508" t="s">
        <v>332</v>
      </c>
      <c r="F13" s="509">
        <v>30.8</v>
      </c>
      <c r="G13" s="510"/>
      <c r="H13" s="499" t="s">
        <v>97</v>
      </c>
      <c r="I13" s="501"/>
      <c r="J13" s="501"/>
      <c r="K13" s="501"/>
      <c r="L13" s="501"/>
      <c r="M13" s="500"/>
      <c r="N13" s="476"/>
      <c r="P13" s="29">
        <v>1</v>
      </c>
      <c r="S13" s="487"/>
      <c r="T13" s="487"/>
      <c r="U13" s="487"/>
      <c r="V13" s="487"/>
      <c r="W13" s="487"/>
      <c r="X13" s="487"/>
      <c r="Y13" s="487"/>
      <c r="Z13" s="487"/>
      <c r="AA13" s="487"/>
      <c r="AB13" s="487"/>
    </row>
    <row r="14" spans="2:33" ht="15" customHeight="1" x14ac:dyDescent="0.2">
      <c r="B14" s="469"/>
      <c r="C14" s="507" t="s">
        <v>289</v>
      </c>
      <c r="D14" s="508">
        <v>1</v>
      </c>
      <c r="E14" s="508" t="s">
        <v>333</v>
      </c>
      <c r="F14" s="509">
        <v>27.41</v>
      </c>
      <c r="G14" s="510"/>
      <c r="H14" s="376" t="s">
        <v>334</v>
      </c>
      <c r="I14" s="377"/>
      <c r="J14" s="377"/>
      <c r="K14" s="377"/>
      <c r="L14" s="377"/>
      <c r="M14" s="378"/>
      <c r="N14" s="476"/>
      <c r="P14" s="29">
        <v>1</v>
      </c>
      <c r="S14" s="487"/>
      <c r="T14" s="487"/>
      <c r="U14" s="487"/>
      <c r="V14" s="487"/>
      <c r="W14" s="487"/>
      <c r="X14" s="487"/>
      <c r="Y14" s="487"/>
      <c r="Z14" s="487"/>
      <c r="AA14" s="487"/>
      <c r="AB14" s="487"/>
    </row>
    <row r="15" spans="2:33" ht="15" customHeight="1" x14ac:dyDescent="0.2">
      <c r="B15" s="469"/>
      <c r="C15" s="507" t="s">
        <v>122</v>
      </c>
      <c r="D15" s="508">
        <v>1</v>
      </c>
      <c r="E15" s="508" t="s">
        <v>335</v>
      </c>
      <c r="F15" s="509">
        <v>26.84</v>
      </c>
      <c r="G15" s="510"/>
      <c r="H15" s="379"/>
      <c r="I15" s="380"/>
      <c r="J15" s="380"/>
      <c r="K15" s="380"/>
      <c r="L15" s="380"/>
      <c r="M15" s="381"/>
      <c r="N15" s="476"/>
      <c r="P15" s="29">
        <v>1</v>
      </c>
      <c r="S15" s="487"/>
      <c r="T15" s="487"/>
      <c r="U15" s="487"/>
      <c r="V15" s="487"/>
      <c r="W15" s="487"/>
      <c r="X15" s="487"/>
      <c r="Y15" s="487"/>
      <c r="Z15" s="487"/>
      <c r="AA15" s="487"/>
      <c r="AB15" s="487"/>
    </row>
    <row r="16" spans="2:33" ht="15" customHeight="1" thickBot="1" x14ac:dyDescent="0.25">
      <c r="B16" s="469"/>
      <c r="C16" s="507" t="s">
        <v>128</v>
      </c>
      <c r="D16" s="508">
        <v>1</v>
      </c>
      <c r="E16" s="508" t="s">
        <v>336</v>
      </c>
      <c r="F16" s="509">
        <v>26.38</v>
      </c>
      <c r="G16" s="510"/>
      <c r="H16" s="382"/>
      <c r="I16" s="383"/>
      <c r="J16" s="383"/>
      <c r="K16" s="383"/>
      <c r="L16" s="383"/>
      <c r="M16" s="384"/>
      <c r="N16" s="476"/>
      <c r="P16" s="29">
        <v>1</v>
      </c>
      <c r="S16" s="487"/>
      <c r="T16" s="487"/>
      <c r="U16" s="487"/>
      <c r="V16" s="487"/>
      <c r="W16" s="487"/>
      <c r="X16" s="487"/>
      <c r="Y16" s="487"/>
      <c r="Z16" s="487"/>
      <c r="AA16" s="487"/>
      <c r="AB16" s="487"/>
    </row>
    <row r="17" spans="2:28" ht="15" customHeight="1" thickBot="1" x14ac:dyDescent="0.25">
      <c r="B17" s="469"/>
      <c r="C17" s="507" t="s">
        <v>324</v>
      </c>
      <c r="D17" s="508">
        <v>1</v>
      </c>
      <c r="E17" s="508" t="s">
        <v>337</v>
      </c>
      <c r="F17" s="509">
        <v>20.94</v>
      </c>
      <c r="G17" s="510"/>
      <c r="H17" s="499" t="s">
        <v>129</v>
      </c>
      <c r="I17" s="501"/>
      <c r="J17" s="501"/>
      <c r="K17" s="501"/>
      <c r="L17" s="501"/>
      <c r="M17" s="500"/>
      <c r="N17" s="476"/>
      <c r="P17" s="29">
        <v>1</v>
      </c>
      <c r="S17" s="487"/>
      <c r="T17" s="487"/>
      <c r="U17" s="487"/>
      <c r="V17" s="487"/>
      <c r="W17" s="487"/>
      <c r="X17" s="487"/>
      <c r="Y17" s="487"/>
      <c r="Z17" s="487"/>
      <c r="AA17" s="487"/>
      <c r="AB17" s="487"/>
    </row>
    <row r="18" spans="2:28" ht="15" customHeight="1" x14ac:dyDescent="0.2">
      <c r="B18" s="469"/>
      <c r="C18" s="507" t="s">
        <v>325</v>
      </c>
      <c r="D18" s="508">
        <v>1</v>
      </c>
      <c r="E18" s="508" t="s">
        <v>338</v>
      </c>
      <c r="F18" s="509">
        <v>19.91</v>
      </c>
      <c r="G18" s="518"/>
      <c r="H18" s="348" t="s">
        <v>339</v>
      </c>
      <c r="I18" s="519"/>
      <c r="J18" s="519"/>
      <c r="K18" s="519"/>
      <c r="L18" s="519"/>
      <c r="M18" s="520"/>
      <c r="N18" s="476"/>
      <c r="P18" s="29">
        <v>1</v>
      </c>
      <c r="S18" s="487"/>
      <c r="T18" s="487"/>
      <c r="U18" s="487"/>
      <c r="V18" s="487"/>
      <c r="W18" s="487"/>
      <c r="X18" s="487"/>
      <c r="Y18" s="487"/>
      <c r="Z18" s="487"/>
      <c r="AA18" s="487"/>
      <c r="AB18" s="487"/>
    </row>
    <row r="19" spans="2:28" ht="15" customHeight="1" x14ac:dyDescent="0.2">
      <c r="B19" s="469"/>
      <c r="C19" s="507" t="s">
        <v>326</v>
      </c>
      <c r="D19" s="508">
        <v>1</v>
      </c>
      <c r="E19" s="508" t="s">
        <v>340</v>
      </c>
      <c r="F19" s="509">
        <v>19.72</v>
      </c>
      <c r="G19" s="518"/>
      <c r="H19" s="521"/>
      <c r="I19" s="522"/>
      <c r="J19" s="522"/>
      <c r="K19" s="522"/>
      <c r="L19" s="522"/>
      <c r="M19" s="523"/>
      <c r="N19" s="476"/>
      <c r="P19" s="29">
        <v>1</v>
      </c>
      <c r="S19" s="487"/>
      <c r="T19" s="487"/>
      <c r="U19" s="487"/>
      <c r="V19" s="487"/>
      <c r="W19" s="487"/>
      <c r="X19" s="487"/>
      <c r="Y19" s="487"/>
      <c r="Z19" s="487"/>
      <c r="AA19" s="487"/>
      <c r="AB19" s="487"/>
    </row>
    <row r="20" spans="2:28" ht="15" customHeight="1" x14ac:dyDescent="0.2">
      <c r="B20" s="469"/>
      <c r="C20" s="507" t="s">
        <v>327</v>
      </c>
      <c r="D20" s="508">
        <v>1</v>
      </c>
      <c r="E20" s="508" t="s">
        <v>341</v>
      </c>
      <c r="F20" s="509">
        <v>21.86</v>
      </c>
      <c r="G20" s="518"/>
      <c r="H20" s="521"/>
      <c r="I20" s="522"/>
      <c r="J20" s="522"/>
      <c r="K20" s="522"/>
      <c r="L20" s="522"/>
      <c r="M20" s="523"/>
      <c r="N20" s="476"/>
      <c r="P20" s="29">
        <v>1</v>
      </c>
      <c r="S20" s="487"/>
      <c r="T20" s="487"/>
      <c r="U20" s="487"/>
      <c r="V20" s="487"/>
      <c r="W20" s="487"/>
      <c r="X20" s="487"/>
      <c r="Y20" s="487"/>
      <c r="Z20" s="487"/>
      <c r="AA20" s="487"/>
      <c r="AB20" s="487"/>
    </row>
    <row r="21" spans="2:28" ht="15" customHeight="1" thickBot="1" x14ac:dyDescent="0.25">
      <c r="B21" s="469"/>
      <c r="C21" s="507"/>
      <c r="D21" s="508"/>
      <c r="E21" s="508"/>
      <c r="F21" s="524">
        <v>0</v>
      </c>
      <c r="G21" s="518"/>
      <c r="H21" s="525"/>
      <c r="I21" s="526"/>
      <c r="J21" s="526"/>
      <c r="K21" s="526"/>
      <c r="L21" s="526"/>
      <c r="M21" s="527"/>
      <c r="N21" s="476"/>
      <c r="P21" s="29">
        <v>1</v>
      </c>
      <c r="S21" s="486"/>
      <c r="T21" s="486"/>
      <c r="U21" s="486"/>
      <c r="V21" s="487"/>
      <c r="W21" s="487"/>
      <c r="X21" s="487"/>
      <c r="Y21" s="487"/>
      <c r="Z21" s="487"/>
      <c r="AA21" s="487"/>
      <c r="AB21" s="487"/>
    </row>
    <row r="22" spans="2:28" ht="6" customHeight="1" thickBot="1" x14ac:dyDescent="0.25">
      <c r="B22" s="469"/>
      <c r="C22" s="502"/>
      <c r="D22" s="528"/>
      <c r="E22" s="529"/>
      <c r="F22" s="489"/>
      <c r="G22" s="491"/>
      <c r="H22" s="489"/>
      <c r="I22" s="490"/>
      <c r="J22" s="490"/>
      <c r="K22" s="490"/>
      <c r="L22" s="167"/>
      <c r="M22" s="491"/>
      <c r="N22" s="476"/>
      <c r="P22" s="29">
        <v>1</v>
      </c>
      <c r="S22" s="486"/>
      <c r="T22" s="486"/>
      <c r="U22" s="486"/>
      <c r="V22" s="487"/>
      <c r="W22" s="487"/>
      <c r="X22" s="487"/>
      <c r="Y22" s="487"/>
      <c r="Z22" s="487"/>
      <c r="AA22" s="487"/>
      <c r="AB22" s="487"/>
    </row>
    <row r="23" spans="2:28" ht="15.75" customHeight="1" thickBot="1" x14ac:dyDescent="0.3">
      <c r="B23" s="469"/>
      <c r="C23" s="530" t="s">
        <v>154</v>
      </c>
      <c r="D23" s="531"/>
      <c r="E23" s="531"/>
      <c r="F23" s="531"/>
      <c r="G23" s="531"/>
      <c r="H23" s="531"/>
      <c r="I23" s="531"/>
      <c r="J23" s="531"/>
      <c r="K23" s="531"/>
      <c r="L23" s="531"/>
      <c r="M23" s="532"/>
      <c r="N23" s="476"/>
      <c r="P23" s="29">
        <v>1</v>
      </c>
      <c r="S23" s="486"/>
      <c r="T23" s="486">
        <v>4.0882352941176467</v>
      </c>
      <c r="U23" s="486"/>
      <c r="V23" s="487"/>
      <c r="W23" s="487"/>
      <c r="X23" s="487"/>
      <c r="Y23" s="487"/>
      <c r="Z23" s="487"/>
      <c r="AA23" s="487"/>
      <c r="AB23" s="487"/>
    </row>
    <row r="24" spans="2:28" ht="6" customHeight="1" x14ac:dyDescent="0.25">
      <c r="B24" s="469"/>
      <c r="C24" s="533"/>
      <c r="D24" s="534"/>
      <c r="E24" s="534"/>
      <c r="F24" s="535"/>
      <c r="G24" s="536"/>
      <c r="H24" s="467"/>
      <c r="I24" s="467"/>
      <c r="J24" s="537"/>
      <c r="K24" s="535"/>
      <c r="L24" s="535"/>
      <c r="M24" s="538"/>
      <c r="N24" s="539"/>
      <c r="O24" s="540"/>
      <c r="P24" s="29">
        <v>1</v>
      </c>
      <c r="S24" s="486"/>
      <c r="T24" s="486">
        <v>5.882352941176471</v>
      </c>
      <c r="U24" s="486"/>
    </row>
    <row r="25" spans="2:28" ht="14.1" customHeight="1" x14ac:dyDescent="0.25">
      <c r="B25" s="469"/>
      <c r="C25" s="541"/>
      <c r="E25" s="540"/>
      <c r="G25" s="542"/>
      <c r="H25" s="543"/>
      <c r="I25" s="540"/>
      <c r="J25" s="458" t="s">
        <v>160</v>
      </c>
      <c r="K25" s="459"/>
      <c r="L25" s="460"/>
      <c r="M25" s="476"/>
      <c r="N25" s="544"/>
      <c r="O25" s="545"/>
      <c r="P25" s="29">
        <v>1</v>
      </c>
      <c r="S25" s="486"/>
      <c r="T25" s="486">
        <v>21.643598615916954</v>
      </c>
      <c r="U25" s="486"/>
    </row>
    <row r="26" spans="2:28" ht="12.75" customHeight="1" x14ac:dyDescent="0.2">
      <c r="B26" s="469"/>
      <c r="C26" s="469"/>
      <c r="H26" s="545"/>
      <c r="I26" s="545"/>
      <c r="J26" s="461" t="s">
        <v>163</v>
      </c>
      <c r="K26" s="461" t="s">
        <v>164</v>
      </c>
      <c r="L26" s="461" t="s">
        <v>165</v>
      </c>
      <c r="M26" s="476"/>
      <c r="N26" s="544"/>
      <c r="O26" s="545"/>
      <c r="P26" s="29">
        <v>1</v>
      </c>
      <c r="S26" s="486"/>
      <c r="T26" s="486"/>
      <c r="U26" s="486"/>
    </row>
    <row r="27" spans="2:28" ht="14.1" customHeight="1" x14ac:dyDescent="0.2">
      <c r="B27" s="469"/>
      <c r="C27" s="469"/>
      <c r="D27" s="546"/>
      <c r="G27" s="546"/>
      <c r="J27" s="462" t="str">
        <f>C11</f>
        <v>334</v>
      </c>
      <c r="K27" s="463">
        <v>24.25</v>
      </c>
      <c r="L27" s="463">
        <v>16.59</v>
      </c>
      <c r="M27" s="476"/>
      <c r="N27" s="547"/>
      <c r="O27" s="546"/>
      <c r="P27" s="29">
        <v>1</v>
      </c>
    </row>
    <row r="28" spans="2:28" ht="14.1" customHeight="1" x14ac:dyDescent="0.2">
      <c r="B28" s="469"/>
      <c r="C28" s="548"/>
      <c r="D28" s="546"/>
      <c r="G28" s="546"/>
      <c r="J28" s="462" t="str">
        <f t="shared" ref="J28:J36" si="0">C12</f>
        <v>35</v>
      </c>
      <c r="K28" s="463">
        <v>24.81</v>
      </c>
      <c r="L28" s="463">
        <v>16.79</v>
      </c>
      <c r="M28" s="476"/>
      <c r="N28" s="547"/>
      <c r="O28" s="546"/>
      <c r="P28" s="29">
        <v>1</v>
      </c>
    </row>
    <row r="29" spans="2:28" ht="14.1" customHeight="1" x14ac:dyDescent="0.2">
      <c r="B29" s="469"/>
      <c r="C29" s="548"/>
      <c r="D29" s="546"/>
      <c r="G29" s="546"/>
      <c r="J29" s="462" t="str">
        <f t="shared" si="0"/>
        <v>36</v>
      </c>
      <c r="K29" s="463">
        <v>25.15</v>
      </c>
      <c r="L29" s="463">
        <v>16.93</v>
      </c>
      <c r="M29" s="476"/>
      <c r="N29" s="547"/>
      <c r="O29" s="546"/>
      <c r="P29" s="29">
        <v>1</v>
      </c>
    </row>
    <row r="30" spans="2:28" ht="14.1" customHeight="1" x14ac:dyDescent="0.2">
      <c r="B30" s="469"/>
      <c r="C30" s="548"/>
      <c r="D30" s="546"/>
      <c r="G30" s="546"/>
      <c r="J30" s="462" t="str">
        <f t="shared" si="0"/>
        <v>378</v>
      </c>
      <c r="K30" s="463">
        <v>26.63</v>
      </c>
      <c r="L30" s="463">
        <v>17.89</v>
      </c>
      <c r="M30" s="476"/>
      <c r="N30" s="547"/>
      <c r="O30" s="546"/>
      <c r="P30" s="29">
        <v>1</v>
      </c>
    </row>
    <row r="31" spans="2:28" ht="14.1" customHeight="1" x14ac:dyDescent="0.2">
      <c r="B31" s="469"/>
      <c r="C31" s="548"/>
      <c r="D31" s="546"/>
      <c r="G31" s="546"/>
      <c r="J31" s="462" t="str">
        <f t="shared" si="0"/>
        <v>39</v>
      </c>
      <c r="K31" s="463">
        <v>27.2</v>
      </c>
      <c r="L31" s="463">
        <v>18.09</v>
      </c>
      <c r="M31" s="476"/>
      <c r="N31" s="547"/>
      <c r="O31" s="546"/>
      <c r="P31" s="29">
        <v>1</v>
      </c>
    </row>
    <row r="32" spans="2:28" ht="14.1" customHeight="1" x14ac:dyDescent="0.2">
      <c r="B32" s="469"/>
      <c r="C32" s="548"/>
      <c r="D32" s="546"/>
      <c r="G32" s="546"/>
      <c r="J32" s="462" t="str">
        <f t="shared" si="0"/>
        <v>40</v>
      </c>
      <c r="K32" s="463">
        <v>27.55</v>
      </c>
      <c r="L32" s="463">
        <v>18.239999999999998</v>
      </c>
      <c r="M32" s="476"/>
      <c r="N32" s="547"/>
      <c r="O32" s="546"/>
      <c r="P32" s="29">
        <v>1</v>
      </c>
    </row>
    <row r="33" spans="2:20" ht="14.1" customHeight="1" x14ac:dyDescent="0.2">
      <c r="B33" s="469"/>
      <c r="C33" s="548"/>
      <c r="D33" s="546"/>
      <c r="G33" s="546"/>
      <c r="J33" s="462" t="str">
        <f t="shared" si="0"/>
        <v>41</v>
      </c>
      <c r="K33" s="463">
        <v>27.88</v>
      </c>
      <c r="L33" s="463">
        <v>18.39</v>
      </c>
      <c r="M33" s="476"/>
      <c r="N33" s="547"/>
      <c r="O33" s="546"/>
      <c r="P33" s="29">
        <v>1</v>
      </c>
    </row>
    <row r="34" spans="2:20" ht="14.1" customHeight="1" x14ac:dyDescent="0.2">
      <c r="B34" s="469"/>
      <c r="C34" s="548"/>
      <c r="D34" s="546"/>
      <c r="G34" s="546"/>
      <c r="J34" s="462" t="str">
        <f t="shared" si="0"/>
        <v>42</v>
      </c>
      <c r="K34" s="463">
        <v>29.28</v>
      </c>
      <c r="L34" s="463">
        <v>19.350000000000001</v>
      </c>
      <c r="M34" s="476"/>
      <c r="N34" s="547"/>
      <c r="O34" s="546"/>
      <c r="P34" s="29">
        <v>1</v>
      </c>
    </row>
    <row r="35" spans="2:20" ht="14.1" customHeight="1" x14ac:dyDescent="0.2">
      <c r="B35" s="469"/>
      <c r="C35" s="548"/>
      <c r="D35" s="546"/>
      <c r="G35" s="546"/>
      <c r="J35" s="462" t="str">
        <f t="shared" si="0"/>
        <v>434</v>
      </c>
      <c r="K35" s="463">
        <v>29.87</v>
      </c>
      <c r="L35" s="463">
        <v>19.559999999999999</v>
      </c>
      <c r="M35" s="476"/>
      <c r="N35" s="547"/>
      <c r="O35" s="546"/>
      <c r="P35" s="29">
        <v>1</v>
      </c>
      <c r="T35" s="549"/>
    </row>
    <row r="36" spans="2:20" ht="15.75" x14ac:dyDescent="0.2">
      <c r="B36" s="469"/>
      <c r="C36" s="548"/>
      <c r="D36" s="546"/>
      <c r="J36" s="462" t="str">
        <f t="shared" si="0"/>
        <v>45</v>
      </c>
      <c r="K36" s="464">
        <v>30.4</v>
      </c>
      <c r="L36" s="463">
        <v>19.78</v>
      </c>
      <c r="M36" s="476"/>
      <c r="N36" s="547"/>
      <c r="O36" s="546"/>
      <c r="P36" s="29">
        <v>1</v>
      </c>
    </row>
    <row r="37" spans="2:20" x14ac:dyDescent="0.2">
      <c r="B37" s="469"/>
      <c r="C37" s="548"/>
      <c r="D37" s="546"/>
      <c r="G37" s="546"/>
      <c r="K37" s="29">
        <v>0</v>
      </c>
      <c r="L37" s="29">
        <v>0</v>
      </c>
      <c r="M37" s="476"/>
      <c r="N37" s="476"/>
      <c r="P37" s="29">
        <v>1</v>
      </c>
    </row>
    <row r="38" spans="2:20" ht="15" x14ac:dyDescent="0.25">
      <c r="B38" s="469"/>
      <c r="C38" s="548"/>
      <c r="D38" s="546"/>
      <c r="G38" s="546"/>
      <c r="H38" s="550"/>
      <c r="I38" s="550"/>
      <c r="M38" s="476"/>
      <c r="N38" s="476"/>
      <c r="P38" s="29">
        <v>1</v>
      </c>
    </row>
    <row r="39" spans="2:20" ht="9.75" customHeight="1" thickBot="1" x14ac:dyDescent="0.3">
      <c r="B39" s="469"/>
      <c r="C39" s="551"/>
      <c r="D39" s="546"/>
      <c r="F39" s="552"/>
      <c r="G39" s="540"/>
      <c r="J39" s="546"/>
      <c r="K39" s="552"/>
      <c r="L39" s="553"/>
      <c r="M39" s="554"/>
      <c r="N39" s="476"/>
      <c r="P39" s="29">
        <v>1</v>
      </c>
    </row>
    <row r="40" spans="2:20" ht="12" hidden="1" customHeight="1" thickBot="1" x14ac:dyDescent="0.3">
      <c r="B40" s="469"/>
      <c r="C40" s="551"/>
      <c r="D40" s="546"/>
      <c r="J40" s="555"/>
      <c r="K40" s="546"/>
      <c r="M40" s="476"/>
      <c r="N40" s="476"/>
      <c r="P40" s="29">
        <v>1</v>
      </c>
    </row>
    <row r="41" spans="2:20" ht="28.5" customHeight="1" thickBot="1" x14ac:dyDescent="0.35">
      <c r="B41" s="469"/>
      <c r="C41" s="556" t="s">
        <v>342</v>
      </c>
      <c r="D41" s="557"/>
      <c r="E41" s="557"/>
      <c r="F41" s="557"/>
      <c r="G41" s="557"/>
      <c r="H41" s="557"/>
      <c r="I41" s="557"/>
      <c r="J41" s="557"/>
      <c r="K41" s="557"/>
      <c r="L41" s="557"/>
      <c r="M41" s="558"/>
      <c r="N41" s="476"/>
      <c r="P41" s="29">
        <v>1</v>
      </c>
    </row>
    <row r="42" spans="2:20" ht="13.5" customHeight="1" thickBot="1" x14ac:dyDescent="0.25">
      <c r="B42" s="469"/>
      <c r="C42" s="559" t="s">
        <v>186</v>
      </c>
      <c r="D42" s="560" t="s">
        <v>187</v>
      </c>
      <c r="E42" s="560" t="s">
        <v>188</v>
      </c>
      <c r="F42" s="560" t="s">
        <v>189</v>
      </c>
      <c r="G42" s="560" t="s">
        <v>187</v>
      </c>
      <c r="H42" s="560" t="s">
        <v>188</v>
      </c>
      <c r="I42" s="560" t="s">
        <v>189</v>
      </c>
      <c r="J42" s="560" t="s">
        <v>187</v>
      </c>
      <c r="K42" s="560" t="s">
        <v>188</v>
      </c>
      <c r="L42" s="560" t="s">
        <v>189</v>
      </c>
      <c r="M42" s="561" t="s">
        <v>190</v>
      </c>
      <c r="N42" s="476"/>
      <c r="P42" s="29">
        <v>1</v>
      </c>
    </row>
    <row r="43" spans="2:20" ht="20.25" hidden="1" thickBot="1" x14ac:dyDescent="0.35">
      <c r="B43" s="469"/>
      <c r="C43" s="562"/>
      <c r="D43" s="563"/>
      <c r="E43" s="563"/>
      <c r="F43" s="563"/>
      <c r="G43" s="563"/>
      <c r="H43" s="563"/>
      <c r="I43" s="563"/>
      <c r="J43" s="563"/>
      <c r="K43" s="563"/>
      <c r="L43" s="563"/>
      <c r="M43" s="564"/>
      <c r="N43" s="476"/>
      <c r="P43" s="29">
        <v>1</v>
      </c>
    </row>
    <row r="44" spans="2:20" ht="17.25" hidden="1" customHeight="1" thickBot="1" x14ac:dyDescent="0.35">
      <c r="B44" s="469"/>
      <c r="C44" s="562"/>
      <c r="D44" s="563"/>
      <c r="E44" s="563"/>
      <c r="F44" s="563"/>
      <c r="G44" s="563"/>
      <c r="H44" s="563"/>
      <c r="I44" s="563"/>
      <c r="J44" s="563"/>
      <c r="K44" s="563"/>
      <c r="L44" s="563"/>
      <c r="M44" s="564"/>
      <c r="N44" s="476"/>
      <c r="P44" s="29">
        <v>1</v>
      </c>
    </row>
    <row r="45" spans="2:20" ht="17.25" customHeight="1" thickBot="1" x14ac:dyDescent="0.35">
      <c r="B45" s="469"/>
      <c r="C45" s="562" t="s">
        <v>39</v>
      </c>
      <c r="D45" s="563">
        <v>2</v>
      </c>
      <c r="E45" s="563">
        <v>45</v>
      </c>
      <c r="F45" s="563" t="s">
        <v>192</v>
      </c>
      <c r="G45" s="563">
        <v>3</v>
      </c>
      <c r="H45" s="563">
        <v>36</v>
      </c>
      <c r="I45" s="563" t="s">
        <v>192</v>
      </c>
      <c r="J45" s="563"/>
      <c r="K45" s="563"/>
      <c r="L45" s="563"/>
      <c r="M45" s="564" t="s">
        <v>343</v>
      </c>
      <c r="N45" s="476"/>
      <c r="P45" s="29">
        <v>1</v>
      </c>
    </row>
    <row r="46" spans="2:20" ht="17.25" customHeight="1" thickBot="1" x14ac:dyDescent="0.35">
      <c r="B46" s="469"/>
      <c r="C46" s="562" t="s">
        <v>46</v>
      </c>
      <c r="D46" s="563">
        <v>4</v>
      </c>
      <c r="E46" s="563">
        <v>434</v>
      </c>
      <c r="F46" s="563" t="s">
        <v>192</v>
      </c>
      <c r="G46" s="563"/>
      <c r="H46" s="563"/>
      <c r="I46" s="563"/>
      <c r="J46" s="563"/>
      <c r="K46" s="563"/>
      <c r="L46" s="563"/>
      <c r="M46" s="564" t="s">
        <v>344</v>
      </c>
      <c r="N46" s="476"/>
      <c r="P46" s="29">
        <v>1</v>
      </c>
    </row>
    <row r="47" spans="2:20" ht="17.25" customHeight="1" thickBot="1" x14ac:dyDescent="0.35">
      <c r="B47" s="469"/>
      <c r="C47" s="562" t="s">
        <v>51</v>
      </c>
      <c r="D47" s="563">
        <v>3</v>
      </c>
      <c r="E47" s="563">
        <v>39</v>
      </c>
      <c r="F47" s="563" t="s">
        <v>192</v>
      </c>
      <c r="G47" s="563">
        <v>2</v>
      </c>
      <c r="H47" s="563">
        <v>41</v>
      </c>
      <c r="I47" s="563" t="s">
        <v>192</v>
      </c>
      <c r="J47" s="563"/>
      <c r="K47" s="563"/>
      <c r="L47" s="563"/>
      <c r="M47" s="564" t="s">
        <v>345</v>
      </c>
      <c r="N47" s="476"/>
      <c r="P47" s="29">
        <v>1</v>
      </c>
    </row>
    <row r="48" spans="2:20" ht="17.25" customHeight="1" thickBot="1" x14ac:dyDescent="0.35">
      <c r="B48" s="469"/>
      <c r="C48" s="562" t="s">
        <v>55</v>
      </c>
      <c r="D48" s="563">
        <v>2</v>
      </c>
      <c r="E48" s="563">
        <v>378</v>
      </c>
      <c r="F48" s="563" t="s">
        <v>192</v>
      </c>
      <c r="G48" s="563">
        <v>3</v>
      </c>
      <c r="H48" s="563">
        <v>40</v>
      </c>
      <c r="I48" s="563" t="s">
        <v>192</v>
      </c>
      <c r="J48" s="563"/>
      <c r="K48" s="563"/>
      <c r="L48" s="563"/>
      <c r="M48" s="564" t="s">
        <v>346</v>
      </c>
      <c r="N48" s="476"/>
      <c r="P48" s="29">
        <v>1</v>
      </c>
    </row>
    <row r="49" spans="2:16" ht="17.25" customHeight="1" thickBot="1" x14ac:dyDescent="0.35">
      <c r="B49" s="469"/>
      <c r="C49" s="562" t="s">
        <v>68</v>
      </c>
      <c r="D49" s="563">
        <v>5</v>
      </c>
      <c r="E49" s="563">
        <v>40</v>
      </c>
      <c r="F49" s="563" t="s">
        <v>192</v>
      </c>
      <c r="G49" s="563"/>
      <c r="H49" s="563"/>
      <c r="I49" s="563"/>
      <c r="J49" s="563"/>
      <c r="K49" s="563"/>
      <c r="L49" s="563"/>
      <c r="M49" s="564" t="s">
        <v>347</v>
      </c>
      <c r="N49" s="476"/>
      <c r="P49" s="29">
        <v>1</v>
      </c>
    </row>
    <row r="50" spans="2:16" ht="17.25" customHeight="1" thickBot="1" x14ac:dyDescent="0.35">
      <c r="B50" s="469"/>
      <c r="C50" s="562" t="s">
        <v>73</v>
      </c>
      <c r="D50" s="563">
        <v>1</v>
      </c>
      <c r="E50" s="563">
        <v>36</v>
      </c>
      <c r="F50" s="563" t="s">
        <v>192</v>
      </c>
      <c r="G50" s="563">
        <v>4</v>
      </c>
      <c r="H50" s="563">
        <v>41</v>
      </c>
      <c r="I50" s="563" t="s">
        <v>192</v>
      </c>
      <c r="J50" s="563"/>
      <c r="K50" s="563"/>
      <c r="L50" s="563"/>
      <c r="M50" s="564" t="s">
        <v>348</v>
      </c>
      <c r="N50" s="476"/>
      <c r="P50" s="29">
        <v>1</v>
      </c>
    </row>
    <row r="51" spans="2:16" ht="17.25" customHeight="1" thickBot="1" x14ac:dyDescent="0.35">
      <c r="B51" s="469"/>
      <c r="C51" s="562" t="s">
        <v>84</v>
      </c>
      <c r="D51" s="563">
        <v>4</v>
      </c>
      <c r="E51" s="563">
        <v>41</v>
      </c>
      <c r="F51" s="563" t="s">
        <v>192</v>
      </c>
      <c r="G51" s="563"/>
      <c r="H51" s="563"/>
      <c r="I51" s="563"/>
      <c r="J51" s="563"/>
      <c r="K51" s="563"/>
      <c r="L51" s="563"/>
      <c r="M51" s="564" t="s">
        <v>349</v>
      </c>
      <c r="N51" s="476"/>
      <c r="P51" s="29">
        <v>1</v>
      </c>
    </row>
    <row r="52" spans="2:16" ht="20.25" thickBot="1" x14ac:dyDescent="0.35">
      <c r="B52" s="469"/>
      <c r="C52" s="562" t="s">
        <v>92</v>
      </c>
      <c r="D52" s="565">
        <v>2</v>
      </c>
      <c r="E52" s="565">
        <v>35</v>
      </c>
      <c r="F52" s="565" t="s">
        <v>192</v>
      </c>
      <c r="G52" s="565">
        <v>3</v>
      </c>
      <c r="H52" s="563">
        <v>42</v>
      </c>
      <c r="I52" s="563" t="s">
        <v>192</v>
      </c>
      <c r="J52" s="563"/>
      <c r="K52" s="563"/>
      <c r="L52" s="563"/>
      <c r="M52" s="564" t="s">
        <v>350</v>
      </c>
      <c r="N52" s="476"/>
      <c r="P52" s="29">
        <v>1</v>
      </c>
    </row>
    <row r="53" spans="2:16" ht="20.25" thickBot="1" x14ac:dyDescent="0.35">
      <c r="B53" s="469"/>
      <c r="C53" s="562" t="s">
        <v>98</v>
      </c>
      <c r="D53" s="565">
        <v>2</v>
      </c>
      <c r="E53" s="565">
        <v>334</v>
      </c>
      <c r="F53" s="565" t="s">
        <v>192</v>
      </c>
      <c r="G53" s="565">
        <v>3</v>
      </c>
      <c r="H53" s="563">
        <v>42</v>
      </c>
      <c r="I53" s="563" t="s">
        <v>192</v>
      </c>
      <c r="J53" s="563"/>
      <c r="K53" s="563"/>
      <c r="L53" s="563"/>
      <c r="M53" s="564" t="s">
        <v>343</v>
      </c>
      <c r="N53" s="476"/>
      <c r="P53" s="29">
        <v>1</v>
      </c>
    </row>
    <row r="54" spans="2:16" ht="20.25" thickBot="1" x14ac:dyDescent="0.35">
      <c r="B54" s="469"/>
      <c r="C54" s="562" t="s">
        <v>106</v>
      </c>
      <c r="D54" s="565">
        <v>4</v>
      </c>
      <c r="E54" s="565">
        <v>42</v>
      </c>
      <c r="F54" s="565" t="s">
        <v>192</v>
      </c>
      <c r="G54" s="565"/>
      <c r="H54" s="563"/>
      <c r="I54" s="563"/>
      <c r="J54" s="563"/>
      <c r="K54" s="563"/>
      <c r="L54" s="563"/>
      <c r="M54" s="564" t="s">
        <v>351</v>
      </c>
      <c r="N54" s="476"/>
      <c r="P54" s="29">
        <v>1</v>
      </c>
    </row>
    <row r="55" spans="2:16" ht="12.75" customHeight="1" x14ac:dyDescent="0.2">
      <c r="B55" s="469"/>
      <c r="C55" s="566" t="s">
        <v>352</v>
      </c>
      <c r="D55" s="567"/>
      <c r="E55" s="567"/>
      <c r="F55" s="567"/>
      <c r="G55" s="567"/>
      <c r="H55" s="567"/>
      <c r="I55" s="567"/>
      <c r="J55" s="567"/>
      <c r="K55" s="567"/>
      <c r="L55" s="567"/>
      <c r="M55" s="568"/>
      <c r="N55" s="476"/>
      <c r="P55" s="29">
        <v>1</v>
      </c>
    </row>
    <row r="56" spans="2:16" ht="12.75" customHeight="1" x14ac:dyDescent="0.2">
      <c r="B56" s="469"/>
      <c r="C56" s="566"/>
      <c r="D56" s="567"/>
      <c r="E56" s="567"/>
      <c r="F56" s="567"/>
      <c r="G56" s="567"/>
      <c r="H56" s="567"/>
      <c r="I56" s="567"/>
      <c r="J56" s="567"/>
      <c r="K56" s="567"/>
      <c r="L56" s="567"/>
      <c r="M56" s="568"/>
      <c r="N56" s="476"/>
      <c r="P56" s="29">
        <v>1</v>
      </c>
    </row>
    <row r="57" spans="2:16" ht="12.75" customHeight="1" x14ac:dyDescent="0.2">
      <c r="B57" s="469"/>
      <c r="C57" s="566"/>
      <c r="D57" s="567"/>
      <c r="E57" s="567"/>
      <c r="F57" s="567"/>
      <c r="G57" s="567"/>
      <c r="H57" s="567"/>
      <c r="I57" s="567"/>
      <c r="J57" s="567"/>
      <c r="K57" s="567"/>
      <c r="L57" s="567"/>
      <c r="M57" s="568"/>
      <c r="N57" s="476"/>
      <c r="P57" s="29">
        <v>1</v>
      </c>
    </row>
    <row r="58" spans="2:16" ht="12.75" customHeight="1" x14ac:dyDescent="0.2">
      <c r="B58" s="469"/>
      <c r="C58" s="566"/>
      <c r="D58" s="567"/>
      <c r="E58" s="567"/>
      <c r="F58" s="567"/>
      <c r="G58" s="567"/>
      <c r="H58" s="567"/>
      <c r="I58" s="567"/>
      <c r="J58" s="567"/>
      <c r="K58" s="567"/>
      <c r="L58" s="567"/>
      <c r="M58" s="568"/>
      <c r="N58" s="476"/>
      <c r="P58" s="29">
        <v>1</v>
      </c>
    </row>
    <row r="59" spans="2:16" ht="12.75" customHeight="1" x14ac:dyDescent="0.2">
      <c r="B59" s="469"/>
      <c r="C59" s="566"/>
      <c r="D59" s="567"/>
      <c r="E59" s="567"/>
      <c r="F59" s="567"/>
      <c r="G59" s="567"/>
      <c r="H59" s="567"/>
      <c r="I59" s="567"/>
      <c r="J59" s="567"/>
      <c r="K59" s="567"/>
      <c r="L59" s="567"/>
      <c r="M59" s="568"/>
      <c r="N59" s="476"/>
      <c r="P59" s="29">
        <v>1</v>
      </c>
    </row>
    <row r="60" spans="2:16" ht="12.75" customHeight="1" x14ac:dyDescent="0.2">
      <c r="B60" s="469"/>
      <c r="C60" s="281" t="s">
        <v>353</v>
      </c>
      <c r="D60" s="282"/>
      <c r="E60" s="282"/>
      <c r="F60" s="282"/>
      <c r="G60" s="282"/>
      <c r="H60" s="282"/>
      <c r="I60" s="282"/>
      <c r="J60" s="282"/>
      <c r="K60" s="282"/>
      <c r="L60" s="282"/>
      <c r="M60" s="283"/>
      <c r="N60" s="476"/>
      <c r="P60" s="29">
        <v>1</v>
      </c>
    </row>
    <row r="61" spans="2:16" ht="12.75" customHeight="1" x14ac:dyDescent="0.2">
      <c r="B61" s="469"/>
      <c r="C61" s="281"/>
      <c r="D61" s="282"/>
      <c r="E61" s="282"/>
      <c r="F61" s="282"/>
      <c r="G61" s="282"/>
      <c r="H61" s="282"/>
      <c r="I61" s="282"/>
      <c r="J61" s="282"/>
      <c r="K61" s="282"/>
      <c r="L61" s="282"/>
      <c r="M61" s="283"/>
      <c r="N61" s="476"/>
      <c r="P61" s="29">
        <v>1</v>
      </c>
    </row>
    <row r="62" spans="2:16" ht="12.75" customHeight="1" x14ac:dyDescent="0.2">
      <c r="B62" s="469"/>
      <c r="C62" s="281"/>
      <c r="D62" s="282"/>
      <c r="E62" s="282"/>
      <c r="F62" s="282"/>
      <c r="G62" s="282"/>
      <c r="H62" s="282"/>
      <c r="I62" s="282"/>
      <c r="J62" s="282"/>
      <c r="K62" s="282"/>
      <c r="L62" s="282"/>
      <c r="M62" s="283"/>
      <c r="N62" s="476"/>
      <c r="P62" s="29">
        <v>1</v>
      </c>
    </row>
    <row r="63" spans="2:16" ht="23.25" x14ac:dyDescent="0.35">
      <c r="B63" s="469"/>
      <c r="C63" s="569"/>
      <c r="D63" s="570"/>
      <c r="E63" s="570"/>
      <c r="F63" s="570"/>
      <c r="G63" s="570"/>
      <c r="H63" s="570"/>
      <c r="I63" s="570"/>
      <c r="J63" s="570"/>
      <c r="K63" s="570"/>
      <c r="L63" s="570"/>
      <c r="M63" s="571"/>
      <c r="N63" s="476"/>
      <c r="P63" s="29">
        <v>1</v>
      </c>
    </row>
    <row r="64" spans="2:16" x14ac:dyDescent="0.2">
      <c r="B64" s="469"/>
      <c r="C64" s="572" t="s">
        <v>203</v>
      </c>
      <c r="D64" s="573"/>
      <c r="E64" s="573"/>
      <c r="F64" s="573"/>
      <c r="G64" s="573"/>
      <c r="H64" s="573"/>
      <c r="I64" s="573"/>
      <c r="J64" s="573"/>
      <c r="K64" s="573"/>
      <c r="L64" s="573"/>
      <c r="M64" s="574"/>
      <c r="N64" s="476"/>
      <c r="P64" s="29">
        <v>1</v>
      </c>
    </row>
    <row r="65" spans="2:16" ht="13.5" thickBot="1" x14ac:dyDescent="0.25">
      <c r="B65" s="469"/>
      <c r="C65" s="575" t="s">
        <v>204</v>
      </c>
      <c r="D65" s="576"/>
      <c r="E65" s="576"/>
      <c r="F65" s="576"/>
      <c r="G65" s="576"/>
      <c r="H65" s="576"/>
      <c r="I65" s="576"/>
      <c r="J65" s="576"/>
      <c r="K65" s="576"/>
      <c r="L65" s="576"/>
      <c r="M65" s="577"/>
      <c r="N65" s="476"/>
      <c r="P65" s="29">
        <v>1</v>
      </c>
    </row>
    <row r="66" spans="2:16" ht="13.5" thickBot="1" x14ac:dyDescent="0.25">
      <c r="B66" s="578"/>
      <c r="C66" s="490"/>
      <c r="D66" s="490"/>
      <c r="E66" s="490"/>
      <c r="F66" s="490" t="s">
        <v>206</v>
      </c>
      <c r="G66" s="490"/>
      <c r="H66" s="490"/>
      <c r="I66" s="490" t="s">
        <v>207</v>
      </c>
      <c r="J66" s="490" t="s">
        <v>208</v>
      </c>
      <c r="K66" s="490"/>
      <c r="L66" s="490"/>
      <c r="M66" s="490"/>
      <c r="N66" s="579"/>
      <c r="P66" s="29">
        <v>1</v>
      </c>
    </row>
    <row r="68" spans="2:16" x14ac:dyDescent="0.2">
      <c r="B68" s="580" t="s">
        <v>214</v>
      </c>
      <c r="C68" s="581" t="s">
        <v>215</v>
      </c>
      <c r="D68" s="582"/>
      <c r="E68" s="582"/>
      <c r="F68" s="582"/>
      <c r="G68" s="582"/>
      <c r="H68" s="582"/>
      <c r="I68" s="582"/>
      <c r="J68" s="582"/>
      <c r="K68" s="582"/>
      <c r="L68" s="582"/>
      <c r="M68" s="582"/>
      <c r="N68" s="583"/>
    </row>
    <row r="69" spans="2:16" x14ac:dyDescent="0.2">
      <c r="C69" s="584" t="s">
        <v>217</v>
      </c>
      <c r="D69" s="585"/>
      <c r="E69" s="585"/>
      <c r="F69" s="585"/>
      <c r="G69" s="585"/>
      <c r="H69" s="585"/>
      <c r="I69" s="585"/>
      <c r="J69" s="585"/>
      <c r="K69" s="585"/>
      <c r="L69" s="585"/>
      <c r="M69" s="585"/>
      <c r="N69" s="586"/>
    </row>
    <row r="71" spans="2:16" x14ac:dyDescent="0.2">
      <c r="C71" s="580" t="s">
        <v>220</v>
      </c>
      <c r="D71" s="587">
        <v>0</v>
      </c>
      <c r="F71" s="580">
        <v>0</v>
      </c>
    </row>
    <row r="72" spans="2:16" x14ac:dyDescent="0.2">
      <c r="D72" s="29" t="s">
        <v>205</v>
      </c>
    </row>
    <row r="73" spans="2:16" ht="15" x14ac:dyDescent="0.25">
      <c r="C73" s="588" t="s">
        <v>223</v>
      </c>
      <c r="D73" s="589" t="s">
        <v>224</v>
      </c>
      <c r="E73" s="588" t="s">
        <v>225</v>
      </c>
      <c r="F73" s="590" t="s">
        <v>226</v>
      </c>
      <c r="G73" s="591" t="s">
        <v>227</v>
      </c>
      <c r="H73" s="592"/>
      <c r="I73" s="593" t="s">
        <v>225</v>
      </c>
      <c r="J73" s="591" t="s">
        <v>227</v>
      </c>
      <c r="K73" s="594"/>
      <c r="L73" s="593" t="s">
        <v>228</v>
      </c>
      <c r="M73" s="591"/>
    </row>
    <row r="74" spans="2:16" ht="15" x14ac:dyDescent="0.25">
      <c r="C74" s="595" t="s">
        <v>289</v>
      </c>
      <c r="D74" s="596" t="s">
        <v>205</v>
      </c>
      <c r="E74" s="597">
        <v>28.32</v>
      </c>
      <c r="F74" s="598">
        <v>3.5310734463276837E-2</v>
      </c>
      <c r="G74" s="599">
        <v>0.38100282485875703</v>
      </c>
      <c r="H74" s="600">
        <v>10.79</v>
      </c>
      <c r="I74" s="597"/>
      <c r="J74" s="601"/>
      <c r="K74" s="602"/>
      <c r="L74" s="593"/>
      <c r="M74" s="603">
        <v>0</v>
      </c>
    </row>
    <row r="75" spans="2:16" ht="15" x14ac:dyDescent="0.25">
      <c r="C75" s="595" t="s">
        <v>354</v>
      </c>
      <c r="D75" s="596">
        <v>1</v>
      </c>
      <c r="E75" s="597">
        <v>27.32</v>
      </c>
      <c r="F75" s="598">
        <v>3.6603221083455345E-2</v>
      </c>
      <c r="G75" s="599">
        <v>0.61932650073206452</v>
      </c>
      <c r="H75" s="600">
        <v>16.920000000000002</v>
      </c>
      <c r="I75" s="597"/>
      <c r="J75" s="601"/>
      <c r="K75" s="602"/>
      <c r="L75" s="593"/>
      <c r="M75" s="603">
        <v>0</v>
      </c>
    </row>
    <row r="76" spans="2:16" ht="15" x14ac:dyDescent="0.25">
      <c r="C76" s="595" t="s">
        <v>355</v>
      </c>
      <c r="D76" s="596">
        <v>1</v>
      </c>
      <c r="E76" s="597">
        <v>26.87</v>
      </c>
      <c r="F76" s="598">
        <v>3.7216226274655748E-2</v>
      </c>
      <c r="G76" s="599">
        <v>0.85225158168961657</v>
      </c>
      <c r="H76" s="600">
        <v>22.9</v>
      </c>
      <c r="I76" s="597"/>
      <c r="J76" s="601"/>
      <c r="K76" s="602"/>
      <c r="L76" s="593"/>
      <c r="M76" s="603">
        <v>0</v>
      </c>
    </row>
    <row r="77" spans="2:16" ht="15" x14ac:dyDescent="0.25">
      <c r="C77" s="595" t="s">
        <v>356</v>
      </c>
      <c r="D77" s="596">
        <v>1</v>
      </c>
      <c r="E77" s="597">
        <v>21.26</v>
      </c>
      <c r="F77" s="598">
        <v>4.7036688617121354E-2</v>
      </c>
      <c r="G77" s="599">
        <v>1.0075258701787395</v>
      </c>
      <c r="H77" s="600">
        <v>21.42</v>
      </c>
      <c r="I77" s="597"/>
      <c r="J77" s="601"/>
      <c r="K77" s="602"/>
      <c r="L77" s="593"/>
      <c r="M77" s="603">
        <v>0</v>
      </c>
    </row>
    <row r="78" spans="2:16" ht="15" x14ac:dyDescent="0.25">
      <c r="C78" s="595" t="s">
        <v>357</v>
      </c>
      <c r="D78" s="596">
        <v>1</v>
      </c>
      <c r="E78" s="597">
        <v>20.82</v>
      </c>
      <c r="F78" s="598">
        <v>4.8030739673390971E-2</v>
      </c>
      <c r="G78" s="599">
        <v>0.84918347742555234</v>
      </c>
      <c r="H78" s="600">
        <v>17.68</v>
      </c>
      <c r="I78" s="597"/>
      <c r="J78" s="601"/>
      <c r="K78" s="602"/>
      <c r="L78" s="593"/>
      <c r="M78" s="603">
        <v>0</v>
      </c>
    </row>
    <row r="79" spans="2:16" ht="15" x14ac:dyDescent="0.25">
      <c r="C79" s="595" t="s">
        <v>326</v>
      </c>
      <c r="D79" s="596">
        <v>1</v>
      </c>
      <c r="E79" s="597">
        <v>20.27</v>
      </c>
      <c r="F79" s="598">
        <v>4.9333991119881598E-2</v>
      </c>
      <c r="G79" s="599">
        <v>0.5076467686235816</v>
      </c>
      <c r="H79" s="600">
        <v>10.29</v>
      </c>
      <c r="I79" s="597"/>
      <c r="J79" s="601"/>
      <c r="K79" s="602"/>
      <c r="L79" s="593"/>
      <c r="M79" s="603">
        <v>0</v>
      </c>
    </row>
    <row r="80" spans="2:16" ht="15" x14ac:dyDescent="0.25">
      <c r="C80" s="595">
        <v>0</v>
      </c>
      <c r="D80" s="596">
        <v>0</v>
      </c>
      <c r="E80" s="597">
        <v>0</v>
      </c>
      <c r="F80" s="598">
        <v>0</v>
      </c>
      <c r="G80" s="599">
        <v>0</v>
      </c>
      <c r="H80" s="600">
        <v>0</v>
      </c>
      <c r="I80" s="597"/>
      <c r="J80" s="601"/>
      <c r="K80" s="602"/>
      <c r="L80" s="593"/>
      <c r="M80" s="603">
        <v>0</v>
      </c>
    </row>
    <row r="81" spans="3:13" ht="15" x14ac:dyDescent="0.25">
      <c r="C81" s="595">
        <v>0</v>
      </c>
      <c r="D81" s="596">
        <v>0</v>
      </c>
      <c r="E81" s="597">
        <v>0</v>
      </c>
      <c r="F81" s="598">
        <v>0</v>
      </c>
      <c r="G81" s="599">
        <v>0</v>
      </c>
      <c r="H81" s="600">
        <v>0</v>
      </c>
      <c r="I81" s="597"/>
      <c r="J81" s="601"/>
      <c r="K81" s="602"/>
      <c r="L81" s="593"/>
      <c r="M81" s="603">
        <v>0</v>
      </c>
    </row>
    <row r="82" spans="3:13" ht="15" x14ac:dyDescent="0.25">
      <c r="C82" s="595">
        <v>0</v>
      </c>
      <c r="D82" s="596">
        <v>0</v>
      </c>
      <c r="E82" s="597">
        <v>0</v>
      </c>
      <c r="F82" s="598">
        <v>0</v>
      </c>
      <c r="G82" s="599">
        <v>0</v>
      </c>
      <c r="H82" s="600">
        <v>0</v>
      </c>
      <c r="I82" s="604"/>
      <c r="J82" s="601"/>
      <c r="K82" s="602"/>
      <c r="L82" s="593"/>
      <c r="M82" s="603">
        <v>0</v>
      </c>
    </row>
    <row r="83" spans="3:13" ht="15" x14ac:dyDescent="0.25">
      <c r="C83" s="595">
        <v>0</v>
      </c>
      <c r="D83" s="596"/>
      <c r="E83" s="597">
        <v>0</v>
      </c>
      <c r="F83" s="598">
        <v>0</v>
      </c>
      <c r="G83" s="599">
        <v>0</v>
      </c>
      <c r="H83" s="600">
        <v>0</v>
      </c>
      <c r="I83" s="604"/>
      <c r="J83" s="601"/>
      <c r="K83" s="602"/>
      <c r="L83" s="593"/>
      <c r="M83" s="603">
        <v>0</v>
      </c>
    </row>
    <row r="84" spans="3:13" ht="15" x14ac:dyDescent="0.25">
      <c r="C84" s="595">
        <v>0</v>
      </c>
      <c r="D84" s="596" t="s">
        <v>205</v>
      </c>
      <c r="E84" s="597">
        <v>0</v>
      </c>
      <c r="F84" s="598">
        <v>0</v>
      </c>
      <c r="G84" s="599">
        <v>0</v>
      </c>
      <c r="H84" s="600">
        <v>0</v>
      </c>
      <c r="I84" s="604"/>
      <c r="J84" s="601"/>
      <c r="K84" s="602"/>
      <c r="L84" s="593"/>
      <c r="M84" s="603">
        <v>0</v>
      </c>
    </row>
    <row r="85" spans="3:13" ht="15" x14ac:dyDescent="0.25">
      <c r="C85" s="605"/>
      <c r="D85" s="606"/>
      <c r="E85" s="607"/>
      <c r="F85" s="607"/>
      <c r="G85" s="606">
        <v>4.2169370235083123</v>
      </c>
      <c r="H85" s="607"/>
      <c r="I85" s="606"/>
      <c r="J85" s="608"/>
      <c r="K85" s="609"/>
      <c r="L85" s="606"/>
      <c r="M85" s="610">
        <v>0</v>
      </c>
    </row>
    <row r="86" spans="3:13" ht="15.75" thickBot="1" x14ac:dyDescent="0.3">
      <c r="C86" s="611"/>
      <c r="D86" s="612"/>
      <c r="E86" s="613">
        <v>23.713894573840292</v>
      </c>
      <c r="F86" s="613"/>
      <c r="G86" s="614"/>
      <c r="H86" s="615"/>
      <c r="I86" s="613"/>
      <c r="J86" s="615"/>
      <c r="K86" s="616"/>
      <c r="L86" s="545"/>
      <c r="M86" s="545"/>
    </row>
    <row r="414" spans="59:59" x14ac:dyDescent="0.2">
      <c r="BG414" s="617"/>
    </row>
  </sheetData>
  <autoFilter ref="P9:P44" xr:uid="{00000000-0009-0000-0000-000008000000}">
    <filterColumn colId="0">
      <filters>
        <filter val="1"/>
      </filters>
    </filterColumn>
  </autoFilter>
  <mergeCells count="19">
    <mergeCell ref="C41:M41"/>
    <mergeCell ref="C55:M59"/>
    <mergeCell ref="C60:M62"/>
    <mergeCell ref="C63:M63"/>
    <mergeCell ref="C64:M64"/>
    <mergeCell ref="C65:M65"/>
    <mergeCell ref="H13:M13"/>
    <mergeCell ref="H14:M16"/>
    <mergeCell ref="H17:M17"/>
    <mergeCell ref="H18:M21"/>
    <mergeCell ref="C23:M23"/>
    <mergeCell ref="J25:L25"/>
    <mergeCell ref="C3:E7"/>
    <mergeCell ref="L8:M8"/>
    <mergeCell ref="F9:G9"/>
    <mergeCell ref="H9:J9"/>
    <mergeCell ref="K9:M9"/>
    <mergeCell ref="H11:J12"/>
    <mergeCell ref="K11:M12"/>
  </mergeCells>
  <printOptions horizontalCentered="1"/>
  <pageMargins left="0.23622047244094491" right="0.23622047244094491" top="0.31496062992125984" bottom="0.23622047244094491" header="0.23622047244094491" footer="0.19685039370078741"/>
  <pageSetup paperSize="9" scale="65" fitToHeight="2" orientation="portrait" r:id="rId1"/>
  <headerFooter alignWithMargins="0">
    <oddFooter>&amp;L_x000D_&amp;1#&amp;"Aptos"&amp;10&amp;K000000 Classificação Privada</oddFooter>
  </headerFooter>
  <rowBreaks count="1" manualBreakCount="1">
    <brk id="51" min="1" max="1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6]!imprimir">
                <anchor moveWithCells="1" sizeWithCells="1">
                  <from>
                    <xdr:col>11</xdr:col>
                    <xdr:colOff>152400</xdr:colOff>
                    <xdr:row>0</xdr:row>
                    <xdr:rowOff>76200</xdr:rowOff>
                  </from>
                  <to>
                    <xdr:col>14</xdr:col>
                    <xdr:colOff>9525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6]!Módulo16.VOLTAR">
                <anchor moveWithCells="1" sizeWithCells="1">
                  <from>
                    <xdr:col>9</xdr:col>
                    <xdr:colOff>276225</xdr:colOff>
                    <xdr:row>0</xdr:row>
                    <xdr:rowOff>85725</xdr:rowOff>
                  </from>
                  <to>
                    <xdr:col>11</xdr:col>
                    <xdr:colOff>57150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7]!imprimir">
                <anchor moveWithCells="1" sizeWithCells="1">
                  <from>
                    <xdr:col>11</xdr:col>
                    <xdr:colOff>152400</xdr:colOff>
                    <xdr:row>0</xdr:row>
                    <xdr:rowOff>76200</xdr:rowOff>
                  </from>
                  <to>
                    <xdr:col>14</xdr:col>
                    <xdr:colOff>9525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7]!Módulo16.VOLTAR">
                <anchor moveWithCells="1" sizeWithCells="1">
                  <from>
                    <xdr:col>9</xdr:col>
                    <xdr:colOff>276225</xdr:colOff>
                    <xdr:row>0</xdr:row>
                    <xdr:rowOff>85725</xdr:rowOff>
                  </from>
                  <to>
                    <xdr:col>11</xdr:col>
                    <xdr:colOff>57150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9893E-BBD3-496B-9258-6B5A54C72CEF}">
  <sheetPr codeName="PLAN18" filterMode="1"/>
  <dimension ref="B1:ER414"/>
  <sheetViews>
    <sheetView showGridLines="0" showZeros="0" topLeftCell="A13" zoomScale="70" zoomScaleNormal="70" zoomScaleSheetLayoutView="70" workbookViewId="0">
      <selection activeCell="ET66" sqref="ET66"/>
    </sheetView>
  </sheetViews>
  <sheetFormatPr defaultColWidth="6.7109375" defaultRowHeight="12.75" x14ac:dyDescent="0.2"/>
  <cols>
    <col min="1" max="1" width="2.140625" style="29" customWidth="1"/>
    <col min="2" max="2" width="0.7109375" style="29" customWidth="1"/>
    <col min="3" max="3" width="14.5703125" style="29" customWidth="1"/>
    <col min="4" max="4" width="11.140625" style="29" customWidth="1"/>
    <col min="5" max="5" width="16.42578125" style="29" customWidth="1"/>
    <col min="6" max="6" width="18.28515625" style="29" customWidth="1"/>
    <col min="7" max="7" width="12.7109375" style="29" customWidth="1"/>
    <col min="8" max="8" width="22.140625" style="29" customWidth="1"/>
    <col min="9" max="9" width="9.42578125" style="29" customWidth="1"/>
    <col min="10" max="10" width="14.7109375" style="29" customWidth="1"/>
    <col min="11" max="11" width="17.42578125" style="29" customWidth="1"/>
    <col min="12" max="12" width="11.7109375" style="29" customWidth="1"/>
    <col min="13" max="13" width="11.28515625" style="29" customWidth="1"/>
    <col min="14" max="14" width="1" style="29" customWidth="1"/>
    <col min="15" max="15" width="1.140625" style="29" customWidth="1"/>
    <col min="16" max="16" width="2.85546875" style="29" customWidth="1"/>
    <col min="17" max="17" width="6.7109375" style="29" hidden="1" customWidth="1"/>
    <col min="18" max="18" width="2" style="29" hidden="1" customWidth="1"/>
    <col min="19" max="19" width="3.28515625" style="29" hidden="1" customWidth="1"/>
    <col min="20" max="23" width="7.140625" style="29" hidden="1" customWidth="1"/>
    <col min="24" max="24" width="0.42578125" style="29" hidden="1" customWidth="1"/>
    <col min="25" max="25" width="4.28515625" style="29" hidden="1" customWidth="1"/>
    <col min="26" max="36" width="7.140625" style="29" hidden="1" customWidth="1"/>
    <col min="37" max="37" width="10.42578125" style="29" hidden="1" customWidth="1"/>
    <col min="38" max="39" width="7.140625" style="29" hidden="1" customWidth="1"/>
    <col min="40" max="40" width="0.42578125" style="29" hidden="1" customWidth="1"/>
    <col min="41" max="41" width="24.85546875" style="29" hidden="1" customWidth="1"/>
    <col min="42" max="42" width="6.7109375" style="29" hidden="1" customWidth="1"/>
    <col min="43" max="43" width="7.42578125" style="29" hidden="1" customWidth="1"/>
    <col min="44" max="45" width="6.7109375" style="29" hidden="1" customWidth="1"/>
    <col min="46" max="46" width="11" style="29" hidden="1" customWidth="1"/>
    <col min="47" max="51" width="8.5703125" style="29" hidden="1" customWidth="1"/>
    <col min="52" max="52" width="7.7109375" style="29" hidden="1" customWidth="1"/>
    <col min="53" max="54" width="6.42578125" style="29" hidden="1" customWidth="1"/>
    <col min="55" max="55" width="0.42578125" style="29" hidden="1" customWidth="1"/>
    <col min="56" max="56" width="20.28515625" style="29" hidden="1" customWidth="1"/>
    <col min="57" max="57" width="21.28515625" style="29" hidden="1" customWidth="1"/>
    <col min="58" max="61" width="8.5703125" style="29" hidden="1" customWidth="1"/>
    <col min="62" max="62" width="13.85546875" style="29" hidden="1" customWidth="1"/>
    <col min="63" max="64" width="10.140625" style="29" hidden="1" customWidth="1"/>
    <col min="65" max="65" width="0.42578125" style="29" hidden="1" customWidth="1"/>
    <col min="66" max="66" width="11" style="29" hidden="1" customWidth="1"/>
    <col min="67" max="71" width="8.5703125" style="29" hidden="1" customWidth="1"/>
    <col min="72" max="72" width="7.5703125" style="29" hidden="1" customWidth="1"/>
    <col min="73" max="73" width="6.42578125" style="29" hidden="1" customWidth="1"/>
    <col min="74" max="74" width="9.28515625" style="29" hidden="1" customWidth="1"/>
    <col min="75" max="81" width="6.7109375" style="29" hidden="1" customWidth="1"/>
    <col min="82" max="84" width="10.140625" style="29" hidden="1" customWidth="1"/>
    <col min="85" max="98" width="6.7109375" style="29" hidden="1" customWidth="1"/>
    <col min="99" max="99" width="9" style="29" hidden="1" customWidth="1"/>
    <col min="100" max="100" width="10.5703125" style="29" hidden="1" customWidth="1"/>
    <col min="101" max="108" width="6.7109375" style="29" hidden="1" customWidth="1"/>
    <col min="109" max="110" width="11.5703125" style="29" hidden="1" customWidth="1"/>
    <col min="111" max="113" width="6.7109375" style="29" hidden="1" customWidth="1"/>
    <col min="114" max="114" width="26.42578125" style="29" hidden="1" customWidth="1"/>
    <col min="115" max="115" width="26.5703125" style="29" hidden="1" customWidth="1"/>
    <col min="116" max="116" width="9" style="29" hidden="1" customWidth="1"/>
    <col min="117" max="117" width="12.85546875" style="29" hidden="1" customWidth="1"/>
    <col min="118" max="118" width="9.140625" style="29" hidden="1" customWidth="1"/>
    <col min="119" max="119" width="22.140625" style="29" hidden="1" customWidth="1"/>
    <col min="120" max="120" width="12.42578125" style="29" hidden="1" customWidth="1"/>
    <col min="121" max="121" width="13.85546875" style="29" hidden="1" customWidth="1"/>
    <col min="122" max="148" width="6.7109375" style="29" hidden="1" customWidth="1"/>
    <col min="149" max="149" width="6.7109375" style="29" customWidth="1"/>
    <col min="150" max="150" width="8.85546875" style="29" bestFit="1" customWidth="1"/>
    <col min="151" max="151" width="9.7109375" style="29" bestFit="1" customWidth="1"/>
    <col min="152" max="177" width="6.7109375" style="29" customWidth="1"/>
    <col min="178" max="16384" width="6.7109375" style="29"/>
  </cols>
  <sheetData>
    <row r="1" spans="2:33" ht="36" customHeight="1" thickBot="1" x14ac:dyDescent="0.25"/>
    <row r="2" spans="2:33" ht="4.5" customHeight="1" x14ac:dyDescent="0.2">
      <c r="B2" s="466"/>
      <c r="C2" s="467"/>
      <c r="D2" s="467"/>
      <c r="E2" s="467"/>
      <c r="F2" s="467"/>
      <c r="G2" s="467"/>
      <c r="H2" s="467"/>
      <c r="I2" s="467"/>
      <c r="J2" s="467"/>
      <c r="K2" s="467"/>
      <c r="L2" s="467"/>
      <c r="M2" s="467"/>
      <c r="N2" s="468"/>
    </row>
    <row r="3" spans="2:33" ht="38.25" customHeight="1" x14ac:dyDescent="0.2">
      <c r="B3" s="469"/>
      <c r="C3" s="470" t="s">
        <v>3</v>
      </c>
      <c r="D3" s="471"/>
      <c r="E3" s="472"/>
      <c r="F3" s="473" t="s">
        <v>328</v>
      </c>
      <c r="G3" s="473"/>
      <c r="H3" s="474"/>
      <c r="I3" s="474"/>
      <c r="J3" s="475"/>
      <c r="K3" s="475"/>
      <c r="L3" s="475"/>
      <c r="M3" s="475"/>
      <c r="N3" s="476"/>
    </row>
    <row r="4" spans="2:33" ht="21.95" customHeight="1" x14ac:dyDescent="0.2">
      <c r="B4" s="469"/>
      <c r="C4" s="477"/>
      <c r="D4" s="478"/>
      <c r="E4" s="479"/>
      <c r="F4" s="480" t="s">
        <v>11</v>
      </c>
      <c r="G4" s="481"/>
      <c r="H4" s="482"/>
      <c r="K4" s="483" t="s">
        <v>12</v>
      </c>
      <c r="L4" s="484"/>
      <c r="N4" s="476"/>
    </row>
    <row r="5" spans="2:33" ht="21.95" customHeight="1" x14ac:dyDescent="0.2">
      <c r="B5" s="469"/>
      <c r="C5" s="477"/>
      <c r="D5" s="478"/>
      <c r="E5" s="479"/>
      <c r="F5" s="27"/>
      <c r="G5" s="481"/>
      <c r="H5" s="485"/>
      <c r="K5" s="483" t="s">
        <v>38</v>
      </c>
      <c r="L5" s="484"/>
      <c r="N5" s="476"/>
      <c r="AC5" s="486"/>
      <c r="AD5" s="486"/>
      <c r="AE5" s="486"/>
      <c r="AF5" s="486"/>
      <c r="AG5" s="486"/>
    </row>
    <row r="6" spans="2:33" ht="21.95" customHeight="1" x14ac:dyDescent="0.2">
      <c r="B6" s="469"/>
      <c r="C6" s="477"/>
      <c r="D6" s="478"/>
      <c r="E6" s="479"/>
      <c r="F6" s="480"/>
      <c r="G6" s="481"/>
      <c r="H6" s="482"/>
      <c r="K6" s="483" t="s">
        <v>45</v>
      </c>
      <c r="L6" s="484"/>
      <c r="N6" s="476"/>
      <c r="S6" s="487"/>
      <c r="T6" s="487"/>
      <c r="U6" s="487"/>
      <c r="V6" s="487"/>
      <c r="W6" s="487"/>
      <c r="X6" s="487"/>
      <c r="Y6" s="487"/>
      <c r="Z6" s="487"/>
      <c r="AA6" s="487"/>
      <c r="AB6" s="487"/>
      <c r="AC6" s="486"/>
      <c r="AD6" s="486"/>
      <c r="AE6" s="486"/>
      <c r="AF6" s="486"/>
      <c r="AG6" s="486"/>
    </row>
    <row r="7" spans="2:33" ht="21.95" customHeight="1" x14ac:dyDescent="0.2">
      <c r="B7" s="469"/>
      <c r="C7" s="477"/>
      <c r="D7" s="478"/>
      <c r="E7" s="479"/>
      <c r="F7" s="27"/>
      <c r="G7" s="488" t="s">
        <v>50</v>
      </c>
      <c r="H7" s="66"/>
      <c r="N7" s="476"/>
      <c r="S7" s="487"/>
      <c r="T7" s="487"/>
      <c r="U7" s="487"/>
      <c r="V7" s="487"/>
      <c r="W7" s="487"/>
      <c r="X7" s="487"/>
      <c r="Y7" s="487"/>
      <c r="Z7" s="487"/>
      <c r="AA7" s="487"/>
      <c r="AB7" s="487"/>
      <c r="AC7" s="486"/>
      <c r="AD7" s="486">
        <v>4</v>
      </c>
      <c r="AE7" s="486"/>
      <c r="AF7" s="486"/>
      <c r="AG7" s="486">
        <v>3.7567567567567566</v>
      </c>
    </row>
    <row r="8" spans="2:33" ht="11.25" customHeight="1" thickBot="1" x14ac:dyDescent="0.25">
      <c r="B8" s="469"/>
      <c r="C8" s="489"/>
      <c r="D8" s="490"/>
      <c r="E8" s="491"/>
      <c r="F8" s="490"/>
      <c r="G8" s="492" t="s">
        <v>54</v>
      </c>
      <c r="H8" s="493">
        <v>44354.544166666667</v>
      </c>
      <c r="I8" s="490"/>
      <c r="J8" s="494"/>
      <c r="K8" s="495"/>
      <c r="L8" s="496"/>
      <c r="M8" s="496"/>
      <c r="N8" s="476"/>
      <c r="S8" s="487"/>
      <c r="T8" s="487"/>
      <c r="U8" s="487"/>
      <c r="V8" s="487"/>
      <c r="W8" s="487"/>
      <c r="X8" s="487"/>
      <c r="Y8" s="487"/>
      <c r="Z8" s="487"/>
      <c r="AA8" s="487"/>
      <c r="AB8" s="487"/>
      <c r="AC8" s="486"/>
      <c r="AD8" s="486">
        <v>5.6818181818181817</v>
      </c>
      <c r="AE8" s="486"/>
      <c r="AF8" s="486"/>
      <c r="AG8" s="486">
        <v>5.2631578947368425</v>
      </c>
    </row>
    <row r="9" spans="2:33" ht="15.75" thickBot="1" x14ac:dyDescent="0.25">
      <c r="B9" s="469"/>
      <c r="C9" s="497" t="s">
        <v>62</v>
      </c>
      <c r="D9" s="498" t="s">
        <v>63</v>
      </c>
      <c r="E9" s="498" t="s">
        <v>64</v>
      </c>
      <c r="F9" s="499" t="s">
        <v>65</v>
      </c>
      <c r="G9" s="500"/>
      <c r="H9" s="499" t="s">
        <v>66</v>
      </c>
      <c r="I9" s="501"/>
      <c r="J9" s="500"/>
      <c r="K9" s="499" t="s">
        <v>67</v>
      </c>
      <c r="L9" s="501"/>
      <c r="M9" s="500"/>
      <c r="N9" s="476"/>
      <c r="S9" s="487"/>
      <c r="T9" s="487"/>
      <c r="U9" s="487"/>
      <c r="V9" s="487"/>
      <c r="W9" s="487"/>
      <c r="X9" s="487"/>
      <c r="Y9" s="487"/>
      <c r="Z9" s="487"/>
      <c r="AA9" s="487"/>
      <c r="AB9" s="487"/>
      <c r="AC9" s="486"/>
      <c r="AD9" s="486">
        <v>20.227272727272727</v>
      </c>
      <c r="AE9" s="486"/>
      <c r="AF9" s="486"/>
      <c r="AG9" s="486">
        <v>17.795163584637269</v>
      </c>
    </row>
    <row r="10" spans="2:33" ht="6.75" customHeight="1" x14ac:dyDescent="0.2">
      <c r="B10" s="469"/>
      <c r="C10" s="502"/>
      <c r="D10" s="503"/>
      <c r="E10" s="504"/>
      <c r="F10" s="505"/>
      <c r="G10" s="506"/>
      <c r="H10" s="89"/>
      <c r="I10" s="90"/>
      <c r="J10" s="90"/>
      <c r="K10" s="466"/>
      <c r="L10" s="91"/>
      <c r="M10" s="506"/>
      <c r="N10" s="476"/>
      <c r="P10" s="29">
        <v>1</v>
      </c>
      <c r="S10" s="487"/>
      <c r="T10" s="487"/>
      <c r="U10" s="487"/>
      <c r="V10" s="487"/>
      <c r="W10" s="487"/>
      <c r="X10" s="487"/>
      <c r="Y10" s="487"/>
      <c r="Z10" s="487"/>
      <c r="AA10" s="487"/>
      <c r="AB10" s="487"/>
      <c r="AC10" s="486"/>
      <c r="AD10" s="486"/>
      <c r="AE10" s="486"/>
      <c r="AF10" s="486"/>
      <c r="AG10" s="486"/>
    </row>
    <row r="11" spans="2:33" ht="15" customHeight="1" x14ac:dyDescent="0.2">
      <c r="B11" s="469"/>
      <c r="C11" s="507" t="s">
        <v>80</v>
      </c>
      <c r="D11" s="508">
        <v>1</v>
      </c>
      <c r="E11" s="508" t="s">
        <v>329</v>
      </c>
      <c r="F11" s="509">
        <v>38.9</v>
      </c>
      <c r="G11" s="510"/>
      <c r="H11" s="400" t="s">
        <v>358</v>
      </c>
      <c r="I11" s="401"/>
      <c r="J11" s="401"/>
      <c r="K11" s="511" t="s">
        <v>83</v>
      </c>
      <c r="L11" s="512"/>
      <c r="M11" s="513"/>
      <c r="N11" s="476"/>
      <c r="P11" s="29">
        <v>1</v>
      </c>
      <c r="S11" s="487"/>
      <c r="T11" s="487"/>
      <c r="U11" s="487"/>
      <c r="V11" s="487"/>
      <c r="W11" s="487"/>
      <c r="X11" s="487"/>
      <c r="Y11" s="487"/>
      <c r="Z11" s="487"/>
      <c r="AA11" s="487"/>
      <c r="AC11" s="486"/>
      <c r="AD11" s="486"/>
      <c r="AE11" s="486"/>
      <c r="AF11" s="486"/>
      <c r="AG11" s="486"/>
    </row>
    <row r="12" spans="2:33" ht="15" customHeight="1" thickBot="1" x14ac:dyDescent="0.25">
      <c r="B12" s="469"/>
      <c r="C12" s="507" t="s">
        <v>91</v>
      </c>
      <c r="D12" s="508">
        <v>1</v>
      </c>
      <c r="E12" s="508" t="s">
        <v>331</v>
      </c>
      <c r="F12" s="509">
        <v>37.08</v>
      </c>
      <c r="G12" s="510"/>
      <c r="H12" s="402"/>
      <c r="I12" s="403"/>
      <c r="J12" s="403"/>
      <c r="K12" s="514"/>
      <c r="L12" s="515"/>
      <c r="M12" s="516"/>
      <c r="N12" s="476"/>
      <c r="P12" s="29">
        <v>1</v>
      </c>
      <c r="S12" s="487"/>
      <c r="T12" s="487"/>
      <c r="U12" s="487"/>
      <c r="V12" s="487"/>
      <c r="W12" s="487"/>
      <c r="X12" s="487"/>
      <c r="Y12" s="487"/>
      <c r="Z12" s="487"/>
      <c r="AA12" s="487"/>
      <c r="AB12" s="517"/>
    </row>
    <row r="13" spans="2:33" ht="15" customHeight="1" thickBot="1" x14ac:dyDescent="0.25">
      <c r="B13" s="469"/>
      <c r="C13" s="507" t="s">
        <v>96</v>
      </c>
      <c r="D13" s="508">
        <v>1</v>
      </c>
      <c r="E13" s="508" t="s">
        <v>332</v>
      </c>
      <c r="F13" s="509">
        <v>35.86</v>
      </c>
      <c r="G13" s="510"/>
      <c r="H13" s="499" t="s">
        <v>97</v>
      </c>
      <c r="I13" s="501"/>
      <c r="J13" s="501"/>
      <c r="K13" s="501"/>
      <c r="L13" s="501"/>
      <c r="M13" s="500"/>
      <c r="N13" s="476"/>
      <c r="P13" s="29">
        <v>1</v>
      </c>
      <c r="S13" s="487"/>
      <c r="T13" s="487"/>
      <c r="U13" s="487"/>
      <c r="V13" s="487"/>
      <c r="W13" s="487"/>
      <c r="X13" s="487"/>
      <c r="Y13" s="487"/>
      <c r="Z13" s="487"/>
      <c r="AA13" s="487"/>
      <c r="AB13" s="487"/>
    </row>
    <row r="14" spans="2:33" ht="15" customHeight="1" x14ac:dyDescent="0.2">
      <c r="B14" s="469"/>
      <c r="C14" s="507" t="s">
        <v>289</v>
      </c>
      <c r="D14" s="508">
        <v>1</v>
      </c>
      <c r="E14" s="508" t="s">
        <v>333</v>
      </c>
      <c r="F14" s="509">
        <v>32.58</v>
      </c>
      <c r="G14" s="510"/>
      <c r="H14" s="376" t="s">
        <v>334</v>
      </c>
      <c r="I14" s="377"/>
      <c r="J14" s="377"/>
      <c r="K14" s="377"/>
      <c r="L14" s="377"/>
      <c r="M14" s="378"/>
      <c r="N14" s="476"/>
      <c r="P14" s="29">
        <v>1</v>
      </c>
      <c r="S14" s="487"/>
      <c r="T14" s="487"/>
      <c r="U14" s="487"/>
      <c r="V14" s="487"/>
      <c r="W14" s="487"/>
      <c r="X14" s="487"/>
      <c r="Y14" s="487"/>
      <c r="Z14" s="487"/>
      <c r="AA14" s="487"/>
      <c r="AB14" s="487"/>
    </row>
    <row r="15" spans="2:33" ht="15" customHeight="1" x14ac:dyDescent="0.2">
      <c r="B15" s="469"/>
      <c r="C15" s="507" t="s">
        <v>122</v>
      </c>
      <c r="D15" s="508">
        <v>1</v>
      </c>
      <c r="E15" s="508" t="s">
        <v>335</v>
      </c>
      <c r="F15" s="509">
        <v>30.88</v>
      </c>
      <c r="G15" s="510"/>
      <c r="H15" s="379"/>
      <c r="I15" s="380"/>
      <c r="J15" s="380"/>
      <c r="K15" s="380"/>
      <c r="L15" s="380"/>
      <c r="M15" s="381"/>
      <c r="N15" s="476"/>
      <c r="P15" s="29">
        <v>1</v>
      </c>
      <c r="S15" s="487"/>
      <c r="T15" s="487"/>
      <c r="U15" s="487"/>
      <c r="V15" s="487"/>
      <c r="W15" s="487"/>
      <c r="X15" s="487"/>
      <c r="Y15" s="487"/>
      <c r="Z15" s="487"/>
      <c r="AA15" s="487"/>
      <c r="AB15" s="487"/>
    </row>
    <row r="16" spans="2:33" ht="15" customHeight="1" thickBot="1" x14ac:dyDescent="0.25">
      <c r="B16" s="469"/>
      <c r="C16" s="507" t="s">
        <v>128</v>
      </c>
      <c r="D16" s="508">
        <v>1</v>
      </c>
      <c r="E16" s="508" t="s">
        <v>336</v>
      </c>
      <c r="F16" s="509">
        <v>30.54</v>
      </c>
      <c r="G16" s="510"/>
      <c r="H16" s="382"/>
      <c r="I16" s="383"/>
      <c r="J16" s="383"/>
      <c r="K16" s="383"/>
      <c r="L16" s="383"/>
      <c r="M16" s="384"/>
      <c r="N16" s="476"/>
      <c r="P16" s="29">
        <v>1</v>
      </c>
      <c r="S16" s="487"/>
      <c r="T16" s="487"/>
      <c r="U16" s="487"/>
      <c r="V16" s="487"/>
      <c r="W16" s="487"/>
      <c r="X16" s="487"/>
      <c r="Y16" s="487"/>
      <c r="Z16" s="487"/>
      <c r="AA16" s="487"/>
      <c r="AB16" s="487"/>
    </row>
    <row r="17" spans="2:28" ht="15" customHeight="1" thickBot="1" x14ac:dyDescent="0.25">
      <c r="B17" s="469"/>
      <c r="C17" s="507" t="s">
        <v>324</v>
      </c>
      <c r="D17" s="508">
        <v>1</v>
      </c>
      <c r="E17" s="508" t="s">
        <v>337</v>
      </c>
      <c r="F17" s="509">
        <v>30.24</v>
      </c>
      <c r="G17" s="510"/>
      <c r="H17" s="499" t="s">
        <v>129</v>
      </c>
      <c r="I17" s="501"/>
      <c r="J17" s="501"/>
      <c r="K17" s="501"/>
      <c r="L17" s="501"/>
      <c r="M17" s="500"/>
      <c r="N17" s="476"/>
      <c r="P17" s="29">
        <v>1</v>
      </c>
      <c r="S17" s="487"/>
      <c r="T17" s="487"/>
      <c r="U17" s="487"/>
      <c r="V17" s="487"/>
      <c r="W17" s="487"/>
      <c r="X17" s="487"/>
      <c r="Y17" s="487"/>
      <c r="Z17" s="487"/>
      <c r="AA17" s="487"/>
      <c r="AB17" s="487"/>
    </row>
    <row r="18" spans="2:28" ht="15" customHeight="1" x14ac:dyDescent="0.2">
      <c r="B18" s="469"/>
      <c r="C18" s="507" t="s">
        <v>325</v>
      </c>
      <c r="D18" s="508">
        <v>1</v>
      </c>
      <c r="E18" s="508" t="s">
        <v>338</v>
      </c>
      <c r="F18" s="509">
        <v>27.87</v>
      </c>
      <c r="G18" s="518"/>
      <c r="H18" s="348" t="s">
        <v>339</v>
      </c>
      <c r="I18" s="519"/>
      <c r="J18" s="519"/>
      <c r="K18" s="519"/>
      <c r="L18" s="519"/>
      <c r="M18" s="520"/>
      <c r="N18" s="476"/>
      <c r="P18" s="29">
        <v>1</v>
      </c>
      <c r="S18" s="487"/>
      <c r="T18" s="487"/>
      <c r="U18" s="487"/>
      <c r="V18" s="487"/>
      <c r="W18" s="487"/>
      <c r="X18" s="487"/>
      <c r="Y18" s="487"/>
      <c r="Z18" s="487"/>
      <c r="AA18" s="487"/>
      <c r="AB18" s="487"/>
    </row>
    <row r="19" spans="2:28" ht="15" customHeight="1" x14ac:dyDescent="0.2">
      <c r="B19" s="469"/>
      <c r="C19" s="507" t="s">
        <v>326</v>
      </c>
      <c r="D19" s="508">
        <v>1</v>
      </c>
      <c r="E19" s="508" t="s">
        <v>340</v>
      </c>
      <c r="F19" s="509">
        <v>23</v>
      </c>
      <c r="G19" s="518"/>
      <c r="H19" s="521"/>
      <c r="I19" s="522"/>
      <c r="J19" s="522"/>
      <c r="K19" s="522"/>
      <c r="L19" s="522"/>
      <c r="M19" s="523"/>
      <c r="N19" s="476"/>
      <c r="P19" s="29">
        <v>1</v>
      </c>
      <c r="S19" s="487"/>
      <c r="T19" s="487"/>
      <c r="U19" s="487"/>
      <c r="V19" s="487"/>
      <c r="W19" s="487"/>
      <c r="X19" s="487"/>
      <c r="Y19" s="487"/>
      <c r="Z19" s="487"/>
      <c r="AA19" s="487"/>
      <c r="AB19" s="487"/>
    </row>
    <row r="20" spans="2:28" ht="15" customHeight="1" x14ac:dyDescent="0.2">
      <c r="B20" s="469"/>
      <c r="C20" s="507" t="s">
        <v>327</v>
      </c>
      <c r="D20" s="508">
        <v>1</v>
      </c>
      <c r="E20" s="508" t="s">
        <v>341</v>
      </c>
      <c r="F20" s="509">
        <v>26.16</v>
      </c>
      <c r="G20" s="518"/>
      <c r="H20" s="521"/>
      <c r="I20" s="522"/>
      <c r="J20" s="522"/>
      <c r="K20" s="522"/>
      <c r="L20" s="522"/>
      <c r="M20" s="523"/>
      <c r="N20" s="476"/>
      <c r="P20" s="29">
        <v>1</v>
      </c>
      <c r="S20" s="487"/>
      <c r="T20" s="487"/>
      <c r="U20" s="487"/>
      <c r="V20" s="487"/>
      <c r="W20" s="487"/>
      <c r="X20" s="487"/>
      <c r="Y20" s="487"/>
      <c r="Z20" s="487"/>
      <c r="AA20" s="487"/>
      <c r="AB20" s="487"/>
    </row>
    <row r="21" spans="2:28" ht="15" customHeight="1" thickBot="1" x14ac:dyDescent="0.25">
      <c r="B21" s="469"/>
      <c r="C21" s="507"/>
      <c r="D21" s="508"/>
      <c r="E21" s="508"/>
      <c r="F21" s="524">
        <v>0</v>
      </c>
      <c r="G21" s="518"/>
      <c r="H21" s="525"/>
      <c r="I21" s="526"/>
      <c r="J21" s="526"/>
      <c r="K21" s="526"/>
      <c r="L21" s="526"/>
      <c r="M21" s="527"/>
      <c r="N21" s="476"/>
      <c r="P21" s="29">
        <v>1</v>
      </c>
      <c r="S21" s="486"/>
      <c r="T21" s="486"/>
      <c r="U21" s="486"/>
      <c r="V21" s="487"/>
      <c r="W21" s="487"/>
      <c r="X21" s="487"/>
      <c r="Y21" s="487"/>
      <c r="Z21" s="487"/>
      <c r="AA21" s="487"/>
      <c r="AB21" s="487"/>
    </row>
    <row r="22" spans="2:28" ht="6" customHeight="1" thickBot="1" x14ac:dyDescent="0.25">
      <c r="B22" s="469"/>
      <c r="C22" s="502"/>
      <c r="D22" s="528"/>
      <c r="E22" s="529"/>
      <c r="F22" s="489"/>
      <c r="G22" s="491"/>
      <c r="H22" s="489"/>
      <c r="I22" s="490"/>
      <c r="J22" s="490"/>
      <c r="K22" s="490"/>
      <c r="L22" s="167"/>
      <c r="M22" s="491"/>
      <c r="N22" s="476"/>
      <c r="P22" s="29">
        <v>1</v>
      </c>
      <c r="S22" s="486"/>
      <c r="T22" s="486"/>
      <c r="U22" s="486"/>
      <c r="V22" s="487"/>
      <c r="W22" s="487"/>
      <c r="X22" s="487"/>
      <c r="Y22" s="487"/>
      <c r="Z22" s="487"/>
      <c r="AA22" s="487"/>
      <c r="AB22" s="487"/>
    </row>
    <row r="23" spans="2:28" ht="15.75" customHeight="1" thickBot="1" x14ac:dyDescent="0.3">
      <c r="B23" s="469"/>
      <c r="C23" s="530" t="s">
        <v>154</v>
      </c>
      <c r="D23" s="531"/>
      <c r="E23" s="531"/>
      <c r="F23" s="531"/>
      <c r="G23" s="531"/>
      <c r="H23" s="531"/>
      <c r="I23" s="531"/>
      <c r="J23" s="531"/>
      <c r="K23" s="531"/>
      <c r="L23" s="531"/>
      <c r="M23" s="532"/>
      <c r="N23" s="476"/>
      <c r="P23" s="29">
        <v>1</v>
      </c>
      <c r="S23" s="486"/>
      <c r="T23" s="486">
        <v>4.0882352941176467</v>
      </c>
      <c r="U23" s="486"/>
      <c r="V23" s="487"/>
      <c r="W23" s="487"/>
      <c r="X23" s="487"/>
      <c r="Y23" s="487"/>
      <c r="Z23" s="487"/>
      <c r="AA23" s="487"/>
      <c r="AB23" s="487"/>
    </row>
    <row r="24" spans="2:28" ht="6" customHeight="1" x14ac:dyDescent="0.25">
      <c r="B24" s="469"/>
      <c r="C24" s="533"/>
      <c r="D24" s="534"/>
      <c r="E24" s="534"/>
      <c r="F24" s="535"/>
      <c r="G24" s="536"/>
      <c r="H24" s="467"/>
      <c r="I24" s="467"/>
      <c r="J24" s="537"/>
      <c r="K24" s="535"/>
      <c r="L24" s="535"/>
      <c r="M24" s="538"/>
      <c r="N24" s="539"/>
      <c r="O24" s="540"/>
      <c r="P24" s="29">
        <v>1</v>
      </c>
      <c r="S24" s="486"/>
      <c r="T24" s="486">
        <v>5.882352941176471</v>
      </c>
      <c r="U24" s="486"/>
    </row>
    <row r="25" spans="2:28" ht="14.1" customHeight="1" x14ac:dyDescent="0.25">
      <c r="B25" s="469"/>
      <c r="C25" s="541"/>
      <c r="E25" s="540"/>
      <c r="G25" s="542"/>
      <c r="H25" s="543"/>
      <c r="I25" s="540"/>
      <c r="J25" s="458" t="s">
        <v>160</v>
      </c>
      <c r="K25" s="459"/>
      <c r="L25" s="460"/>
      <c r="M25" s="476"/>
      <c r="N25" s="544"/>
      <c r="O25" s="545"/>
      <c r="P25" s="29">
        <v>1</v>
      </c>
      <c r="S25" s="486"/>
      <c r="T25" s="486">
        <v>21.643598615916954</v>
      </c>
      <c r="U25" s="486"/>
    </row>
    <row r="26" spans="2:28" ht="12.75" customHeight="1" x14ac:dyDescent="0.2">
      <c r="B26" s="469"/>
      <c r="C26" s="469"/>
      <c r="H26" s="545"/>
      <c r="I26" s="545"/>
      <c r="J26" s="461" t="s">
        <v>163</v>
      </c>
      <c r="K26" s="461" t="s">
        <v>164</v>
      </c>
      <c r="L26" s="461" t="s">
        <v>165</v>
      </c>
      <c r="M26" s="476"/>
      <c r="N26" s="544"/>
      <c r="O26" s="545"/>
      <c r="P26" s="29">
        <v>1</v>
      </c>
      <c r="S26" s="486"/>
      <c r="T26" s="486"/>
      <c r="U26" s="486"/>
    </row>
    <row r="27" spans="2:28" ht="14.1" customHeight="1" x14ac:dyDescent="0.2">
      <c r="B27" s="469"/>
      <c r="C27" s="469"/>
      <c r="D27" s="546"/>
      <c r="G27" s="546"/>
      <c r="J27" s="462" t="str">
        <f>C11</f>
        <v>334</v>
      </c>
      <c r="K27" s="463">
        <v>23.74</v>
      </c>
      <c r="L27" s="463">
        <v>14.17</v>
      </c>
      <c r="M27" s="476"/>
      <c r="N27" s="547"/>
      <c r="O27" s="546"/>
      <c r="P27" s="29">
        <v>1</v>
      </c>
    </row>
    <row r="28" spans="2:28" ht="14.1" customHeight="1" x14ac:dyDescent="0.2">
      <c r="B28" s="469"/>
      <c r="C28" s="548"/>
      <c r="D28" s="546"/>
      <c r="G28" s="546"/>
      <c r="J28" s="462" t="str">
        <f t="shared" ref="J28:J36" si="0">C12</f>
        <v>35</v>
      </c>
      <c r="K28" s="463">
        <v>24.33</v>
      </c>
      <c r="L28" s="463">
        <v>14.44</v>
      </c>
      <c r="M28" s="476"/>
      <c r="N28" s="547"/>
      <c r="O28" s="546"/>
      <c r="P28" s="29">
        <v>1</v>
      </c>
    </row>
    <row r="29" spans="2:28" ht="14.1" customHeight="1" x14ac:dyDescent="0.2">
      <c r="B29" s="469"/>
      <c r="C29" s="548"/>
      <c r="D29" s="546"/>
      <c r="G29" s="546"/>
      <c r="J29" s="462" t="str">
        <f t="shared" si="0"/>
        <v>36</v>
      </c>
      <c r="K29" s="463">
        <v>24.74</v>
      </c>
      <c r="L29" s="463">
        <v>14.61</v>
      </c>
      <c r="M29" s="476"/>
      <c r="N29" s="547"/>
      <c r="O29" s="546"/>
      <c r="P29" s="29">
        <v>1</v>
      </c>
    </row>
    <row r="30" spans="2:28" ht="14.1" customHeight="1" x14ac:dyDescent="0.2">
      <c r="B30" s="469"/>
      <c r="C30" s="548"/>
      <c r="D30" s="546"/>
      <c r="G30" s="546"/>
      <c r="J30" s="462" t="str">
        <f t="shared" si="0"/>
        <v>378</v>
      </c>
      <c r="K30" s="463">
        <v>26.08</v>
      </c>
      <c r="L30" s="463">
        <v>15.28</v>
      </c>
      <c r="M30" s="476"/>
      <c r="N30" s="547"/>
      <c r="O30" s="546"/>
      <c r="P30" s="29">
        <v>1</v>
      </c>
    </row>
    <row r="31" spans="2:28" ht="14.1" customHeight="1" x14ac:dyDescent="0.2">
      <c r="B31" s="469"/>
      <c r="C31" s="548"/>
      <c r="D31" s="546"/>
      <c r="G31" s="546"/>
      <c r="J31" s="462" t="str">
        <f t="shared" si="0"/>
        <v>39</v>
      </c>
      <c r="K31" s="463">
        <v>26.65</v>
      </c>
      <c r="L31" s="463">
        <v>15.51</v>
      </c>
      <c r="M31" s="476"/>
      <c r="N31" s="547"/>
      <c r="O31" s="546"/>
      <c r="P31" s="29">
        <v>1</v>
      </c>
    </row>
    <row r="32" spans="2:28" ht="14.1" customHeight="1" x14ac:dyDescent="0.2">
      <c r="B32" s="469"/>
      <c r="C32" s="548"/>
      <c r="D32" s="546"/>
      <c r="G32" s="546"/>
      <c r="J32" s="462" t="str">
        <f t="shared" si="0"/>
        <v>40</v>
      </c>
      <c r="K32" s="463">
        <v>27.05</v>
      </c>
      <c r="L32" s="463">
        <v>15.7</v>
      </c>
      <c r="M32" s="476"/>
      <c r="N32" s="547"/>
      <c r="O32" s="546"/>
      <c r="P32" s="29">
        <v>1</v>
      </c>
    </row>
    <row r="33" spans="2:20" ht="14.1" customHeight="1" x14ac:dyDescent="0.2">
      <c r="B33" s="469"/>
      <c r="C33" s="548"/>
      <c r="D33" s="546"/>
      <c r="G33" s="546"/>
      <c r="J33" s="462" t="str">
        <f t="shared" si="0"/>
        <v>41</v>
      </c>
      <c r="K33" s="463">
        <v>27.48</v>
      </c>
      <c r="L33" s="463">
        <v>15.85</v>
      </c>
      <c r="M33" s="476"/>
      <c r="N33" s="547"/>
      <c r="O33" s="546"/>
      <c r="P33" s="29">
        <v>1</v>
      </c>
    </row>
    <row r="34" spans="2:20" ht="14.1" customHeight="1" x14ac:dyDescent="0.2">
      <c r="B34" s="469"/>
      <c r="C34" s="548"/>
      <c r="D34" s="546"/>
      <c r="G34" s="546"/>
      <c r="J34" s="462" t="str">
        <f t="shared" si="0"/>
        <v>42</v>
      </c>
      <c r="K34" s="463">
        <v>28.71</v>
      </c>
      <c r="L34" s="463">
        <v>16.46</v>
      </c>
      <c r="M34" s="476"/>
      <c r="N34" s="547"/>
      <c r="O34" s="546"/>
      <c r="P34" s="29">
        <v>1</v>
      </c>
    </row>
    <row r="35" spans="2:20" ht="14.1" customHeight="1" x14ac:dyDescent="0.2">
      <c r="B35" s="469"/>
      <c r="C35" s="548"/>
      <c r="D35" s="546"/>
      <c r="G35" s="546"/>
      <c r="J35" s="462" t="str">
        <f t="shared" si="0"/>
        <v>434</v>
      </c>
      <c r="K35" s="463">
        <v>29.26</v>
      </c>
      <c r="L35" s="463">
        <v>16.71</v>
      </c>
      <c r="M35" s="476"/>
      <c r="N35" s="547"/>
      <c r="O35" s="546"/>
      <c r="P35" s="29">
        <v>1</v>
      </c>
      <c r="T35" s="549"/>
    </row>
    <row r="36" spans="2:20" ht="15.75" x14ac:dyDescent="0.2">
      <c r="B36" s="469"/>
      <c r="C36" s="548"/>
      <c r="D36" s="546"/>
      <c r="J36" s="462" t="str">
        <f t="shared" si="0"/>
        <v>45</v>
      </c>
      <c r="K36" s="464">
        <v>29.86</v>
      </c>
      <c r="L36" s="463">
        <v>16.97</v>
      </c>
      <c r="M36" s="476"/>
      <c r="N36" s="547"/>
      <c r="O36" s="546"/>
      <c r="P36" s="29">
        <v>1</v>
      </c>
    </row>
    <row r="37" spans="2:20" x14ac:dyDescent="0.2">
      <c r="B37" s="469"/>
      <c r="C37" s="548"/>
      <c r="D37" s="546"/>
      <c r="G37" s="546"/>
      <c r="K37" s="29">
        <v>0</v>
      </c>
      <c r="L37" s="29">
        <v>0</v>
      </c>
      <c r="M37" s="476"/>
      <c r="N37" s="476"/>
      <c r="P37" s="29">
        <v>1</v>
      </c>
    </row>
    <row r="38" spans="2:20" ht="15" x14ac:dyDescent="0.25">
      <c r="B38" s="469"/>
      <c r="C38" s="548"/>
      <c r="D38" s="546"/>
      <c r="G38" s="546"/>
      <c r="H38" s="550"/>
      <c r="I38" s="550"/>
      <c r="M38" s="476"/>
      <c r="N38" s="476"/>
      <c r="P38" s="29">
        <v>1</v>
      </c>
    </row>
    <row r="39" spans="2:20" ht="9.75" customHeight="1" thickBot="1" x14ac:dyDescent="0.3">
      <c r="B39" s="469"/>
      <c r="C39" s="551"/>
      <c r="D39" s="546"/>
      <c r="F39" s="552"/>
      <c r="G39" s="540"/>
      <c r="J39" s="546"/>
      <c r="K39" s="552"/>
      <c r="L39" s="553"/>
      <c r="M39" s="554"/>
      <c r="N39" s="476"/>
      <c r="P39" s="29">
        <v>1</v>
      </c>
    </row>
    <row r="40" spans="2:20" ht="12" hidden="1" customHeight="1" thickBot="1" x14ac:dyDescent="0.3">
      <c r="B40" s="469"/>
      <c r="C40" s="551"/>
      <c r="D40" s="546"/>
      <c r="J40" s="555"/>
      <c r="K40" s="546"/>
      <c r="M40" s="476"/>
      <c r="N40" s="476"/>
      <c r="P40" s="29">
        <v>1</v>
      </c>
    </row>
    <row r="41" spans="2:20" ht="28.5" customHeight="1" thickBot="1" x14ac:dyDescent="0.35">
      <c r="B41" s="469"/>
      <c r="C41" s="556" t="s">
        <v>342</v>
      </c>
      <c r="D41" s="557"/>
      <c r="E41" s="557"/>
      <c r="F41" s="557"/>
      <c r="G41" s="557"/>
      <c r="H41" s="557"/>
      <c r="I41" s="557"/>
      <c r="J41" s="557"/>
      <c r="K41" s="557"/>
      <c r="L41" s="557"/>
      <c r="M41" s="558"/>
      <c r="N41" s="476"/>
      <c r="P41" s="29">
        <v>1</v>
      </c>
    </row>
    <row r="42" spans="2:20" ht="13.5" customHeight="1" thickBot="1" x14ac:dyDescent="0.25">
      <c r="B42" s="469"/>
      <c r="C42" s="559" t="s">
        <v>186</v>
      </c>
      <c r="D42" s="560" t="s">
        <v>187</v>
      </c>
      <c r="E42" s="560" t="s">
        <v>188</v>
      </c>
      <c r="F42" s="560" t="s">
        <v>189</v>
      </c>
      <c r="G42" s="560" t="s">
        <v>187</v>
      </c>
      <c r="H42" s="560" t="s">
        <v>188</v>
      </c>
      <c r="I42" s="560" t="s">
        <v>189</v>
      </c>
      <c r="J42" s="560" t="s">
        <v>187</v>
      </c>
      <c r="K42" s="560" t="s">
        <v>188</v>
      </c>
      <c r="L42" s="560" t="s">
        <v>189</v>
      </c>
      <c r="M42" s="561" t="s">
        <v>190</v>
      </c>
      <c r="N42" s="476"/>
      <c r="P42" s="29">
        <v>1</v>
      </c>
    </row>
    <row r="43" spans="2:20" ht="20.25" hidden="1" thickBot="1" x14ac:dyDescent="0.35">
      <c r="B43" s="469"/>
      <c r="C43" s="562"/>
      <c r="D43" s="563"/>
      <c r="E43" s="563"/>
      <c r="F43" s="563"/>
      <c r="G43" s="563"/>
      <c r="H43" s="563"/>
      <c r="I43" s="563"/>
      <c r="J43" s="563"/>
      <c r="K43" s="563"/>
      <c r="L43" s="563"/>
      <c r="M43" s="564"/>
      <c r="N43" s="476"/>
      <c r="P43" s="29">
        <v>1</v>
      </c>
    </row>
    <row r="44" spans="2:20" ht="17.25" hidden="1" customHeight="1" thickBot="1" x14ac:dyDescent="0.35">
      <c r="B44" s="469"/>
      <c r="C44" s="562"/>
      <c r="D44" s="563"/>
      <c r="E44" s="563"/>
      <c r="F44" s="563"/>
      <c r="G44" s="563"/>
      <c r="H44" s="563"/>
      <c r="I44" s="563"/>
      <c r="J44" s="563"/>
      <c r="K44" s="563"/>
      <c r="L44" s="563"/>
      <c r="M44" s="564"/>
      <c r="N44" s="476"/>
      <c r="P44" s="29">
        <v>1</v>
      </c>
    </row>
    <row r="45" spans="2:20" ht="17.25" customHeight="1" thickBot="1" x14ac:dyDescent="0.35">
      <c r="B45" s="469"/>
      <c r="C45" s="562" t="s">
        <v>39</v>
      </c>
      <c r="D45" s="563">
        <v>5</v>
      </c>
      <c r="E45" s="563">
        <v>41</v>
      </c>
      <c r="F45" s="563" t="s">
        <v>192</v>
      </c>
      <c r="G45" s="563"/>
      <c r="H45" s="563"/>
      <c r="I45" s="563"/>
      <c r="J45" s="563"/>
      <c r="K45" s="563"/>
      <c r="L45" s="563"/>
      <c r="M45" s="564" t="s">
        <v>345</v>
      </c>
      <c r="N45" s="476"/>
      <c r="P45" s="29">
        <v>1</v>
      </c>
    </row>
    <row r="46" spans="2:20" ht="17.25" customHeight="1" thickBot="1" x14ac:dyDescent="0.35">
      <c r="B46" s="469"/>
      <c r="C46" s="562" t="s">
        <v>46</v>
      </c>
      <c r="D46" s="563">
        <v>5</v>
      </c>
      <c r="E46" s="563">
        <v>40</v>
      </c>
      <c r="F46" s="563" t="s">
        <v>192</v>
      </c>
      <c r="G46" s="563"/>
      <c r="H46" s="563"/>
      <c r="I46" s="563"/>
      <c r="J46" s="563"/>
      <c r="K46" s="563"/>
      <c r="L46" s="563"/>
      <c r="M46" s="564" t="s">
        <v>359</v>
      </c>
      <c r="N46" s="476"/>
      <c r="P46" s="29">
        <v>1</v>
      </c>
    </row>
    <row r="47" spans="2:20" ht="17.25" customHeight="1" thickBot="1" x14ac:dyDescent="0.35">
      <c r="B47" s="469"/>
      <c r="C47" s="562" t="s">
        <v>51</v>
      </c>
      <c r="D47" s="563">
        <v>2</v>
      </c>
      <c r="E47" s="563">
        <v>36</v>
      </c>
      <c r="F47" s="563" t="s">
        <v>192</v>
      </c>
      <c r="G47" s="563">
        <v>3</v>
      </c>
      <c r="H47" s="563">
        <v>42</v>
      </c>
      <c r="I47" s="563" t="s">
        <v>192</v>
      </c>
      <c r="J47" s="563"/>
      <c r="K47" s="563"/>
      <c r="L47" s="563"/>
      <c r="M47" s="564" t="s">
        <v>360</v>
      </c>
      <c r="N47" s="476"/>
      <c r="P47" s="29">
        <v>1</v>
      </c>
    </row>
    <row r="48" spans="2:20" ht="17.25" customHeight="1" thickBot="1" x14ac:dyDescent="0.35">
      <c r="B48" s="469"/>
      <c r="C48" s="562" t="s">
        <v>55</v>
      </c>
      <c r="D48" s="563">
        <v>2</v>
      </c>
      <c r="E48" s="563">
        <v>35</v>
      </c>
      <c r="F48" s="563" t="s">
        <v>192</v>
      </c>
      <c r="G48" s="563">
        <v>3</v>
      </c>
      <c r="H48" s="563">
        <v>434</v>
      </c>
      <c r="I48" s="563" t="s">
        <v>192</v>
      </c>
      <c r="J48" s="563"/>
      <c r="K48" s="563"/>
      <c r="L48" s="563"/>
      <c r="M48" s="564" t="s">
        <v>361</v>
      </c>
      <c r="N48" s="476"/>
      <c r="P48" s="29">
        <v>1</v>
      </c>
    </row>
    <row r="49" spans="2:16" ht="17.25" customHeight="1" thickBot="1" x14ac:dyDescent="0.35">
      <c r="B49" s="469"/>
      <c r="C49" s="562" t="s">
        <v>68</v>
      </c>
      <c r="D49" s="563">
        <v>4</v>
      </c>
      <c r="E49" s="563">
        <v>434</v>
      </c>
      <c r="F49" s="563" t="s">
        <v>192</v>
      </c>
      <c r="G49" s="563"/>
      <c r="H49" s="563"/>
      <c r="I49" s="563"/>
      <c r="J49" s="563"/>
      <c r="K49" s="563"/>
      <c r="L49" s="563"/>
      <c r="M49" s="564" t="s">
        <v>362</v>
      </c>
      <c r="N49" s="476"/>
      <c r="P49" s="29">
        <v>1</v>
      </c>
    </row>
    <row r="50" spans="2:16" ht="17.25" customHeight="1" thickBot="1" x14ac:dyDescent="0.35">
      <c r="B50" s="469"/>
      <c r="C50" s="562" t="s">
        <v>73</v>
      </c>
      <c r="D50" s="563">
        <v>2</v>
      </c>
      <c r="E50" s="563">
        <v>334</v>
      </c>
      <c r="F50" s="563" t="s">
        <v>192</v>
      </c>
      <c r="G50" s="563">
        <v>3</v>
      </c>
      <c r="H50" s="563">
        <v>45</v>
      </c>
      <c r="I50" s="563" t="s">
        <v>192</v>
      </c>
      <c r="J50" s="563"/>
      <c r="K50" s="563"/>
      <c r="L50" s="563"/>
      <c r="M50" s="564" t="s">
        <v>363</v>
      </c>
      <c r="N50" s="476"/>
      <c r="P50" s="29">
        <v>1</v>
      </c>
    </row>
    <row r="51" spans="2:16" ht="17.25" customHeight="1" thickBot="1" x14ac:dyDescent="0.35">
      <c r="B51" s="469"/>
      <c r="C51" s="562" t="s">
        <v>84</v>
      </c>
      <c r="D51" s="563">
        <v>2</v>
      </c>
      <c r="E51" s="563">
        <v>45</v>
      </c>
      <c r="F51" s="563" t="s">
        <v>192</v>
      </c>
      <c r="G51" s="563">
        <v>3</v>
      </c>
      <c r="H51" s="563">
        <v>378</v>
      </c>
      <c r="I51" s="563" t="s">
        <v>192</v>
      </c>
      <c r="J51" s="563"/>
      <c r="K51" s="563"/>
      <c r="L51" s="563"/>
      <c r="M51" s="564" t="s">
        <v>364</v>
      </c>
      <c r="N51" s="476"/>
      <c r="P51" s="29">
        <v>1</v>
      </c>
    </row>
    <row r="52" spans="2:16" ht="20.25" thickBot="1" x14ac:dyDescent="0.35">
      <c r="B52" s="469"/>
      <c r="C52" s="562" t="s">
        <v>92</v>
      </c>
      <c r="D52" s="565">
        <v>3</v>
      </c>
      <c r="E52" s="565">
        <v>378</v>
      </c>
      <c r="F52" s="565" t="s">
        <v>192</v>
      </c>
      <c r="G52" s="565">
        <v>2</v>
      </c>
      <c r="H52" s="563">
        <v>42</v>
      </c>
      <c r="I52" s="563" t="s">
        <v>192</v>
      </c>
      <c r="J52" s="563"/>
      <c r="K52" s="563"/>
      <c r="L52" s="563"/>
      <c r="M52" s="564" t="s">
        <v>365</v>
      </c>
      <c r="N52" s="476"/>
      <c r="P52" s="29">
        <v>1</v>
      </c>
    </row>
    <row r="53" spans="2:16" ht="20.25" thickBot="1" x14ac:dyDescent="0.35">
      <c r="B53" s="469"/>
      <c r="C53" s="562" t="s">
        <v>98</v>
      </c>
      <c r="D53" s="565">
        <v>2</v>
      </c>
      <c r="E53" s="565">
        <v>42</v>
      </c>
      <c r="F53" s="565" t="s">
        <v>192</v>
      </c>
      <c r="G53" s="565">
        <v>3</v>
      </c>
      <c r="H53" s="563">
        <v>39</v>
      </c>
      <c r="I53" s="563" t="s">
        <v>192</v>
      </c>
      <c r="J53" s="563"/>
      <c r="K53" s="563"/>
      <c r="L53" s="563"/>
      <c r="M53" s="564" t="s">
        <v>345</v>
      </c>
      <c r="N53" s="476"/>
      <c r="P53" s="29">
        <v>1</v>
      </c>
    </row>
    <row r="54" spans="2:16" ht="20.25" thickBot="1" x14ac:dyDescent="0.35">
      <c r="B54" s="469"/>
      <c r="C54" s="562" t="s">
        <v>106</v>
      </c>
      <c r="D54" s="565">
        <v>5</v>
      </c>
      <c r="E54" s="565">
        <v>39</v>
      </c>
      <c r="F54" s="565" t="s">
        <v>192</v>
      </c>
      <c r="G54" s="565"/>
      <c r="H54" s="563"/>
      <c r="I54" s="563"/>
      <c r="J54" s="563"/>
      <c r="K54" s="563"/>
      <c r="L54" s="563"/>
      <c r="M54" s="564" t="s">
        <v>366</v>
      </c>
      <c r="N54" s="476"/>
      <c r="P54" s="29">
        <v>1</v>
      </c>
    </row>
    <row r="55" spans="2:16" x14ac:dyDescent="0.2">
      <c r="B55" s="469"/>
      <c r="C55" s="566" t="s">
        <v>352</v>
      </c>
      <c r="D55" s="567"/>
      <c r="E55" s="567"/>
      <c r="F55" s="567"/>
      <c r="G55" s="567"/>
      <c r="H55" s="567"/>
      <c r="I55" s="567"/>
      <c r="J55" s="567"/>
      <c r="K55" s="567"/>
      <c r="L55" s="567"/>
      <c r="M55" s="568"/>
      <c r="N55" s="476"/>
      <c r="P55" s="29">
        <v>1</v>
      </c>
    </row>
    <row r="56" spans="2:16" x14ac:dyDescent="0.2">
      <c r="B56" s="469"/>
      <c r="C56" s="566"/>
      <c r="D56" s="567"/>
      <c r="E56" s="567"/>
      <c r="F56" s="567"/>
      <c r="G56" s="567"/>
      <c r="H56" s="567"/>
      <c r="I56" s="567"/>
      <c r="J56" s="567"/>
      <c r="K56" s="567"/>
      <c r="L56" s="567"/>
      <c r="M56" s="568"/>
      <c r="N56" s="476"/>
      <c r="P56" s="29">
        <v>1</v>
      </c>
    </row>
    <row r="57" spans="2:16" x14ac:dyDescent="0.2">
      <c r="B57" s="469"/>
      <c r="C57" s="566"/>
      <c r="D57" s="567"/>
      <c r="E57" s="567"/>
      <c r="F57" s="567"/>
      <c r="G57" s="567"/>
      <c r="H57" s="567"/>
      <c r="I57" s="567"/>
      <c r="J57" s="567"/>
      <c r="K57" s="567"/>
      <c r="L57" s="567"/>
      <c r="M57" s="568"/>
      <c r="N57" s="476"/>
      <c r="P57" s="29">
        <v>1</v>
      </c>
    </row>
    <row r="58" spans="2:16" x14ac:dyDescent="0.2">
      <c r="B58" s="469"/>
      <c r="C58" s="566"/>
      <c r="D58" s="567"/>
      <c r="E58" s="567"/>
      <c r="F58" s="567"/>
      <c r="G58" s="567"/>
      <c r="H58" s="567"/>
      <c r="I58" s="567"/>
      <c r="J58" s="567"/>
      <c r="K58" s="567"/>
      <c r="L58" s="567"/>
      <c r="M58" s="568"/>
      <c r="N58" s="476"/>
      <c r="P58" s="29">
        <v>1</v>
      </c>
    </row>
    <row r="59" spans="2:16" x14ac:dyDescent="0.2">
      <c r="B59" s="469"/>
      <c r="C59" s="566"/>
      <c r="D59" s="567"/>
      <c r="E59" s="567"/>
      <c r="F59" s="567"/>
      <c r="G59" s="567"/>
      <c r="H59" s="567"/>
      <c r="I59" s="567"/>
      <c r="J59" s="567"/>
      <c r="K59" s="567"/>
      <c r="L59" s="567"/>
      <c r="M59" s="568"/>
      <c r="N59" s="476"/>
      <c r="P59" s="29">
        <v>1</v>
      </c>
    </row>
    <row r="60" spans="2:16" x14ac:dyDescent="0.2">
      <c r="B60" s="469"/>
      <c r="C60" s="281" t="s">
        <v>353</v>
      </c>
      <c r="D60" s="282"/>
      <c r="E60" s="282"/>
      <c r="F60" s="282"/>
      <c r="G60" s="282"/>
      <c r="H60" s="282"/>
      <c r="I60" s="282"/>
      <c r="J60" s="282"/>
      <c r="K60" s="282"/>
      <c r="L60" s="282"/>
      <c r="M60" s="283"/>
      <c r="N60" s="476"/>
      <c r="P60" s="29">
        <v>1</v>
      </c>
    </row>
    <row r="61" spans="2:16" x14ac:dyDescent="0.2">
      <c r="B61" s="469"/>
      <c r="C61" s="281"/>
      <c r="D61" s="282"/>
      <c r="E61" s="282"/>
      <c r="F61" s="282"/>
      <c r="G61" s="282"/>
      <c r="H61" s="282"/>
      <c r="I61" s="282"/>
      <c r="J61" s="282"/>
      <c r="K61" s="282"/>
      <c r="L61" s="282"/>
      <c r="M61" s="283"/>
      <c r="N61" s="476"/>
      <c r="P61" s="29">
        <v>1</v>
      </c>
    </row>
    <row r="62" spans="2:16" x14ac:dyDescent="0.2">
      <c r="B62" s="469"/>
      <c r="C62" s="281"/>
      <c r="D62" s="282"/>
      <c r="E62" s="282"/>
      <c r="F62" s="282"/>
      <c r="G62" s="282"/>
      <c r="H62" s="282"/>
      <c r="I62" s="282"/>
      <c r="J62" s="282"/>
      <c r="K62" s="282"/>
      <c r="L62" s="282"/>
      <c r="M62" s="283"/>
      <c r="N62" s="476"/>
      <c r="P62" s="29">
        <v>1</v>
      </c>
    </row>
    <row r="63" spans="2:16" ht="23.25" x14ac:dyDescent="0.35">
      <c r="B63" s="469"/>
      <c r="C63" s="569"/>
      <c r="D63" s="570"/>
      <c r="E63" s="570"/>
      <c r="F63" s="570"/>
      <c r="G63" s="570"/>
      <c r="H63" s="570"/>
      <c r="I63" s="570"/>
      <c r="J63" s="570"/>
      <c r="K63" s="570"/>
      <c r="L63" s="570"/>
      <c r="M63" s="571"/>
      <c r="N63" s="476"/>
      <c r="P63" s="29">
        <v>1</v>
      </c>
    </row>
    <row r="64" spans="2:16" x14ac:dyDescent="0.2">
      <c r="B64" s="469"/>
      <c r="C64" s="572" t="s">
        <v>203</v>
      </c>
      <c r="D64" s="573"/>
      <c r="E64" s="573"/>
      <c r="F64" s="573"/>
      <c r="G64" s="573"/>
      <c r="H64" s="573"/>
      <c r="I64" s="573"/>
      <c r="J64" s="573"/>
      <c r="K64" s="573"/>
      <c r="L64" s="573"/>
      <c r="M64" s="574"/>
      <c r="N64" s="476"/>
      <c r="P64" s="29">
        <v>1</v>
      </c>
    </row>
    <row r="65" spans="2:16" ht="13.5" thickBot="1" x14ac:dyDescent="0.25">
      <c r="B65" s="469"/>
      <c r="C65" s="575" t="s">
        <v>204</v>
      </c>
      <c r="D65" s="576"/>
      <c r="E65" s="576"/>
      <c r="F65" s="576"/>
      <c r="G65" s="576"/>
      <c r="H65" s="576"/>
      <c r="I65" s="576"/>
      <c r="J65" s="576"/>
      <c r="K65" s="576"/>
      <c r="L65" s="576"/>
      <c r="M65" s="577"/>
      <c r="N65" s="476"/>
      <c r="P65" s="29">
        <v>1</v>
      </c>
    </row>
    <row r="66" spans="2:16" ht="13.5" thickBot="1" x14ac:dyDescent="0.25">
      <c r="B66" s="578"/>
      <c r="C66" s="490"/>
      <c r="D66" s="490"/>
      <c r="E66" s="490"/>
      <c r="F66" s="490" t="s">
        <v>206</v>
      </c>
      <c r="G66" s="490"/>
      <c r="H66" s="490"/>
      <c r="I66" s="490" t="s">
        <v>207</v>
      </c>
      <c r="J66" s="490" t="s">
        <v>208</v>
      </c>
      <c r="K66" s="490"/>
      <c r="L66" s="490"/>
      <c r="M66" s="490"/>
      <c r="N66" s="579"/>
      <c r="P66" s="29">
        <v>1</v>
      </c>
    </row>
    <row r="68" spans="2:16" x14ac:dyDescent="0.2">
      <c r="B68" s="580" t="s">
        <v>214</v>
      </c>
      <c r="C68" s="581" t="s">
        <v>215</v>
      </c>
      <c r="D68" s="582"/>
      <c r="E68" s="582"/>
      <c r="F68" s="582"/>
      <c r="G68" s="582"/>
      <c r="H68" s="582"/>
      <c r="I68" s="582"/>
      <c r="J68" s="582"/>
      <c r="K68" s="582"/>
      <c r="L68" s="582"/>
      <c r="M68" s="582"/>
      <c r="N68" s="583"/>
    </row>
    <row r="69" spans="2:16" x14ac:dyDescent="0.2">
      <c r="C69" s="584" t="s">
        <v>217</v>
      </c>
      <c r="D69" s="585"/>
      <c r="E69" s="585"/>
      <c r="F69" s="585"/>
      <c r="G69" s="585"/>
      <c r="H69" s="585"/>
      <c r="I69" s="585"/>
      <c r="J69" s="585"/>
      <c r="K69" s="585"/>
      <c r="L69" s="585"/>
      <c r="M69" s="585"/>
      <c r="N69" s="586"/>
    </row>
    <row r="71" spans="2:16" x14ac:dyDescent="0.2">
      <c r="C71" s="580" t="s">
        <v>220</v>
      </c>
      <c r="D71" s="587">
        <v>0</v>
      </c>
      <c r="F71" s="580">
        <v>0</v>
      </c>
    </row>
    <row r="72" spans="2:16" x14ac:dyDescent="0.2">
      <c r="D72" s="29" t="s">
        <v>205</v>
      </c>
    </row>
    <row r="73" spans="2:16" ht="15" x14ac:dyDescent="0.25">
      <c r="C73" s="588" t="s">
        <v>223</v>
      </c>
      <c r="D73" s="589" t="s">
        <v>224</v>
      </c>
      <c r="E73" s="588" t="s">
        <v>225</v>
      </c>
      <c r="F73" s="590" t="s">
        <v>226</v>
      </c>
      <c r="G73" s="591" t="s">
        <v>227</v>
      </c>
      <c r="H73" s="592"/>
      <c r="I73" s="593" t="s">
        <v>225</v>
      </c>
      <c r="J73" s="591" t="s">
        <v>227</v>
      </c>
      <c r="K73" s="594"/>
      <c r="L73" s="593" t="s">
        <v>228</v>
      </c>
      <c r="M73" s="591"/>
    </row>
    <row r="74" spans="2:16" ht="15" x14ac:dyDescent="0.25">
      <c r="C74" s="595" t="s">
        <v>289</v>
      </c>
      <c r="D74" s="596" t="s">
        <v>205</v>
      </c>
      <c r="E74" s="597">
        <v>28.32</v>
      </c>
      <c r="F74" s="598">
        <v>3.5310734463276837E-2</v>
      </c>
      <c r="G74" s="599">
        <v>0.38100282485875703</v>
      </c>
      <c r="H74" s="600">
        <v>10.79</v>
      </c>
      <c r="I74" s="597"/>
      <c r="J74" s="601"/>
      <c r="K74" s="602"/>
      <c r="L74" s="593"/>
      <c r="M74" s="603">
        <v>0</v>
      </c>
    </row>
    <row r="75" spans="2:16" ht="15" x14ac:dyDescent="0.25">
      <c r="C75" s="595" t="s">
        <v>354</v>
      </c>
      <c r="D75" s="596">
        <v>1</v>
      </c>
      <c r="E75" s="597">
        <v>27.32</v>
      </c>
      <c r="F75" s="598">
        <v>3.6603221083455345E-2</v>
      </c>
      <c r="G75" s="599">
        <v>0.61932650073206452</v>
      </c>
      <c r="H75" s="600">
        <v>16.920000000000002</v>
      </c>
      <c r="I75" s="597"/>
      <c r="J75" s="601"/>
      <c r="K75" s="602"/>
      <c r="L75" s="593"/>
      <c r="M75" s="603">
        <v>0</v>
      </c>
    </row>
    <row r="76" spans="2:16" ht="15" x14ac:dyDescent="0.25">
      <c r="C76" s="595" t="s">
        <v>355</v>
      </c>
      <c r="D76" s="596">
        <v>1</v>
      </c>
      <c r="E76" s="597">
        <v>26.87</v>
      </c>
      <c r="F76" s="598">
        <v>3.7216226274655748E-2</v>
      </c>
      <c r="G76" s="599">
        <v>0.85225158168961657</v>
      </c>
      <c r="H76" s="600">
        <v>22.9</v>
      </c>
      <c r="I76" s="597"/>
      <c r="J76" s="601"/>
      <c r="K76" s="602"/>
      <c r="L76" s="593"/>
      <c r="M76" s="603">
        <v>0</v>
      </c>
    </row>
    <row r="77" spans="2:16" ht="15" x14ac:dyDescent="0.25">
      <c r="C77" s="595" t="s">
        <v>356</v>
      </c>
      <c r="D77" s="596">
        <v>1</v>
      </c>
      <c r="E77" s="597">
        <v>21.26</v>
      </c>
      <c r="F77" s="598">
        <v>4.7036688617121354E-2</v>
      </c>
      <c r="G77" s="599">
        <v>1.0075258701787395</v>
      </c>
      <c r="H77" s="600">
        <v>21.42</v>
      </c>
      <c r="I77" s="597"/>
      <c r="J77" s="601"/>
      <c r="K77" s="602"/>
      <c r="L77" s="593"/>
      <c r="M77" s="603">
        <v>0</v>
      </c>
    </row>
    <row r="78" spans="2:16" ht="15" x14ac:dyDescent="0.25">
      <c r="C78" s="595" t="s">
        <v>357</v>
      </c>
      <c r="D78" s="596">
        <v>1</v>
      </c>
      <c r="E78" s="597">
        <v>20.82</v>
      </c>
      <c r="F78" s="598">
        <v>4.8030739673390971E-2</v>
      </c>
      <c r="G78" s="599">
        <v>0.84918347742555234</v>
      </c>
      <c r="H78" s="600">
        <v>17.68</v>
      </c>
      <c r="I78" s="597"/>
      <c r="J78" s="601"/>
      <c r="K78" s="602"/>
      <c r="L78" s="593"/>
      <c r="M78" s="603">
        <v>0</v>
      </c>
    </row>
    <row r="79" spans="2:16" ht="15" x14ac:dyDescent="0.25">
      <c r="C79" s="595" t="s">
        <v>326</v>
      </c>
      <c r="D79" s="596">
        <v>1</v>
      </c>
      <c r="E79" s="597">
        <v>20.27</v>
      </c>
      <c r="F79" s="598">
        <v>4.9333991119881598E-2</v>
      </c>
      <c r="G79" s="599">
        <v>0.5076467686235816</v>
      </c>
      <c r="H79" s="600">
        <v>10.29</v>
      </c>
      <c r="I79" s="597"/>
      <c r="J79" s="601"/>
      <c r="K79" s="602"/>
      <c r="L79" s="593"/>
      <c r="M79" s="603">
        <v>0</v>
      </c>
    </row>
    <row r="80" spans="2:16" ht="15" x14ac:dyDescent="0.25">
      <c r="C80" s="595">
        <v>0</v>
      </c>
      <c r="D80" s="596">
        <v>0</v>
      </c>
      <c r="E80" s="597">
        <v>0</v>
      </c>
      <c r="F80" s="598">
        <v>0</v>
      </c>
      <c r="G80" s="599">
        <v>0</v>
      </c>
      <c r="H80" s="600">
        <v>0</v>
      </c>
      <c r="I80" s="597"/>
      <c r="J80" s="601"/>
      <c r="K80" s="602"/>
      <c r="L80" s="593"/>
      <c r="M80" s="603">
        <v>0</v>
      </c>
    </row>
    <row r="81" spans="3:13" ht="15" x14ac:dyDescent="0.25">
      <c r="C81" s="595">
        <v>0</v>
      </c>
      <c r="D81" s="596">
        <v>0</v>
      </c>
      <c r="E81" s="597">
        <v>0</v>
      </c>
      <c r="F81" s="598">
        <v>0</v>
      </c>
      <c r="G81" s="599">
        <v>0</v>
      </c>
      <c r="H81" s="600">
        <v>0</v>
      </c>
      <c r="I81" s="597"/>
      <c r="J81" s="601"/>
      <c r="K81" s="602"/>
      <c r="L81" s="593"/>
      <c r="M81" s="603">
        <v>0</v>
      </c>
    </row>
    <row r="82" spans="3:13" ht="15" x14ac:dyDescent="0.25">
      <c r="C82" s="595">
        <v>0</v>
      </c>
      <c r="D82" s="596">
        <v>0</v>
      </c>
      <c r="E82" s="597">
        <v>0</v>
      </c>
      <c r="F82" s="598">
        <v>0</v>
      </c>
      <c r="G82" s="599">
        <v>0</v>
      </c>
      <c r="H82" s="600">
        <v>0</v>
      </c>
      <c r="I82" s="604"/>
      <c r="J82" s="601"/>
      <c r="K82" s="602"/>
      <c r="L82" s="593"/>
      <c r="M82" s="603">
        <v>0</v>
      </c>
    </row>
    <row r="83" spans="3:13" ht="15" x14ac:dyDescent="0.25">
      <c r="C83" s="595">
        <v>0</v>
      </c>
      <c r="D83" s="596"/>
      <c r="E83" s="597">
        <v>0</v>
      </c>
      <c r="F83" s="598">
        <v>0</v>
      </c>
      <c r="G83" s="599">
        <v>0</v>
      </c>
      <c r="H83" s="600">
        <v>0</v>
      </c>
      <c r="I83" s="604"/>
      <c r="J83" s="601"/>
      <c r="K83" s="602"/>
      <c r="L83" s="593"/>
      <c r="M83" s="603">
        <v>0</v>
      </c>
    </row>
    <row r="84" spans="3:13" ht="15" x14ac:dyDescent="0.25">
      <c r="C84" s="595">
        <v>0</v>
      </c>
      <c r="D84" s="596" t="s">
        <v>205</v>
      </c>
      <c r="E84" s="597">
        <v>0</v>
      </c>
      <c r="F84" s="598">
        <v>0</v>
      </c>
      <c r="G84" s="599">
        <v>0</v>
      </c>
      <c r="H84" s="600">
        <v>0</v>
      </c>
      <c r="I84" s="604"/>
      <c r="J84" s="601"/>
      <c r="K84" s="602"/>
      <c r="L84" s="593"/>
      <c r="M84" s="603">
        <v>0</v>
      </c>
    </row>
    <row r="85" spans="3:13" ht="15" x14ac:dyDescent="0.25">
      <c r="C85" s="605"/>
      <c r="D85" s="606"/>
      <c r="E85" s="607"/>
      <c r="F85" s="607"/>
      <c r="G85" s="606">
        <v>4.2169370235083123</v>
      </c>
      <c r="H85" s="607"/>
      <c r="I85" s="606"/>
      <c r="J85" s="608"/>
      <c r="K85" s="609"/>
      <c r="L85" s="606"/>
      <c r="M85" s="610">
        <v>0</v>
      </c>
    </row>
    <row r="86" spans="3:13" ht="15.75" thickBot="1" x14ac:dyDescent="0.3">
      <c r="C86" s="611"/>
      <c r="D86" s="612"/>
      <c r="E86" s="613">
        <v>23.713894573840292</v>
      </c>
      <c r="F86" s="613"/>
      <c r="G86" s="614"/>
      <c r="H86" s="615"/>
      <c r="I86" s="613"/>
      <c r="J86" s="615"/>
      <c r="K86" s="616"/>
      <c r="L86" s="545"/>
      <c r="M86" s="545"/>
    </row>
    <row r="414" spans="59:59" x14ac:dyDescent="0.2">
      <c r="BG414" s="617"/>
    </row>
  </sheetData>
  <autoFilter ref="P9:P44" xr:uid="{00000000-0009-0000-0000-000008000000}">
    <filterColumn colId="0">
      <filters>
        <filter val="1"/>
      </filters>
    </filterColumn>
  </autoFilter>
  <mergeCells count="19">
    <mergeCell ref="C41:M41"/>
    <mergeCell ref="C55:M59"/>
    <mergeCell ref="C60:M62"/>
    <mergeCell ref="C63:M63"/>
    <mergeCell ref="C64:M64"/>
    <mergeCell ref="C65:M65"/>
    <mergeCell ref="H13:M13"/>
    <mergeCell ref="H14:M16"/>
    <mergeCell ref="H17:M17"/>
    <mergeCell ref="H18:M21"/>
    <mergeCell ref="C23:M23"/>
    <mergeCell ref="J25:L25"/>
    <mergeCell ref="C3:E7"/>
    <mergeCell ref="L8:M8"/>
    <mergeCell ref="F9:G9"/>
    <mergeCell ref="H9:J9"/>
    <mergeCell ref="K9:M9"/>
    <mergeCell ref="H11:J12"/>
    <mergeCell ref="K11:M12"/>
  </mergeCells>
  <printOptions horizontalCentered="1"/>
  <pageMargins left="0.23622047244094491" right="0.23622047244094491" top="0.31496062992125984" bottom="0.23622047244094491" header="0.23622047244094491" footer="0.19685039370078741"/>
  <pageSetup paperSize="9" scale="65" fitToHeight="2" orientation="portrait" r:id="rId1"/>
  <headerFooter alignWithMargins="0">
    <oddFooter>&amp;L_x000D_&amp;1#&amp;"Aptos"&amp;10&amp;K000000 Classificação Privada</oddFooter>
  </headerFooter>
  <rowBreaks count="1" manualBreakCount="1">
    <brk id="51" min="1" max="1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6]!imprimir">
                <anchor moveWithCells="1" sizeWithCells="1">
                  <from>
                    <xdr:col>11</xdr:col>
                    <xdr:colOff>152400</xdr:colOff>
                    <xdr:row>0</xdr:row>
                    <xdr:rowOff>76200</xdr:rowOff>
                  </from>
                  <to>
                    <xdr:col>14</xdr:col>
                    <xdr:colOff>9525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6]!Módulo16.VOLTAR">
                <anchor moveWithCells="1" sizeWithCells="1">
                  <from>
                    <xdr:col>9</xdr:col>
                    <xdr:colOff>276225</xdr:colOff>
                    <xdr:row>0</xdr:row>
                    <xdr:rowOff>85725</xdr:rowOff>
                  </from>
                  <to>
                    <xdr:col>11</xdr:col>
                    <xdr:colOff>57150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7]!imprimir">
                <anchor moveWithCells="1" sizeWithCells="1">
                  <from>
                    <xdr:col>11</xdr:col>
                    <xdr:colOff>152400</xdr:colOff>
                    <xdr:row>0</xdr:row>
                    <xdr:rowOff>76200</xdr:rowOff>
                  </from>
                  <to>
                    <xdr:col>14</xdr:col>
                    <xdr:colOff>9525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7]!Módulo16.VOLTAR">
                <anchor moveWithCells="1" sizeWithCells="1">
                  <from>
                    <xdr:col>9</xdr:col>
                    <xdr:colOff>276225</xdr:colOff>
                    <xdr:row>0</xdr:row>
                    <xdr:rowOff>85725</xdr:rowOff>
                  </from>
                  <to>
                    <xdr:col>11</xdr:col>
                    <xdr:colOff>57150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Calculos</vt:lpstr>
      <vt:lpstr>CABEDAL </vt:lpstr>
      <vt:lpstr>LINGUETA</vt:lpstr>
      <vt:lpstr>GÁSPEA INT</vt:lpstr>
      <vt:lpstr>GÁSPEA EXT (2)</vt:lpstr>
      <vt:lpstr>'CABEDAL '!Area_de_impressao</vt:lpstr>
      <vt:lpstr>'GÁSPEA EXT (2)'!Area_de_impressao</vt:lpstr>
      <vt:lpstr>'GÁSPEA INT'!Area_de_impressao</vt:lpstr>
      <vt:lpstr>LINGUETA!Area_de_impressao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Manoel Ribeiro</dc:creator>
  <cp:lastModifiedBy>Manoel Ribeiro do Nascimento</cp:lastModifiedBy>
  <dcterms:created xsi:type="dcterms:W3CDTF">2026-10-08T22:55:56Z</dcterms:created>
  <dcterms:modified xsi:type="dcterms:W3CDTF">2026-10-09T16:57:11Z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7a366f-f489-4410-a47a-bbff90ac6d69_Enabled">
    <vt:lpwstr>true</vt:lpwstr>
  </property>
  <property fmtid="{D5CDD505-2E9C-101B-9397-08002B2CF9AE}" pid="3" name="MSIP_Label_237a366f-f489-4410-a47a-bbff90ac6d69_SetDate">
    <vt:lpwstr>2026-10-09T16:57:11Z</vt:lpwstr>
  </property>
  <property fmtid="{D5CDD505-2E9C-101B-9397-08002B2CF9AE}" pid="4" name="MSIP_Label_237a366f-f489-4410-a47a-bbff90ac6d69_Method">
    <vt:lpwstr>Standard</vt:lpwstr>
  </property>
  <property fmtid="{D5CDD505-2E9C-101B-9397-08002B2CF9AE}" pid="5" name="MSIP_Label_237a366f-f489-4410-a47a-bbff90ac6d69_Name">
    <vt:lpwstr>Privado</vt:lpwstr>
  </property>
  <property fmtid="{D5CDD505-2E9C-101B-9397-08002B2CF9AE}" pid="6" name="MSIP_Label_237a366f-f489-4410-a47a-bbff90ac6d69_SiteId">
    <vt:lpwstr>b7ed67af-ba40-4040-a386-ab53a0ad3e96</vt:lpwstr>
  </property>
  <property fmtid="{D5CDD505-2E9C-101B-9397-08002B2CF9AE}" pid="7" name="MSIP_Label_237a366f-f489-4410-a47a-bbff90ac6d69_ActionId">
    <vt:lpwstr>035fd70c-31f7-4c93-b692-d345f53aee0b</vt:lpwstr>
  </property>
  <property fmtid="{D5CDD505-2E9C-101B-9397-08002B2CF9AE}" pid="8" name="MSIP_Label_237a366f-f489-4410-a47a-bbff90ac6d69_ContentBits">
    <vt:lpwstr>2</vt:lpwstr>
  </property>
  <property fmtid="{D5CDD505-2E9C-101B-9397-08002B2CF9AE}" pid="9" name="MSIP_Label_237a366f-f489-4410-a47a-bbff90ac6d69_Tag">
    <vt:lpwstr>10, 3, 0, 1</vt:lpwstr>
  </property>
</Properties>
</file>