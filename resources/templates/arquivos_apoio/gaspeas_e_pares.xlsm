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l0559\Desktop\Projetos\node\auto-tonalidades\resources\templates\arquivos_apoio\"/>
    </mc:Choice>
  </mc:AlternateContent>
  <xr:revisionPtr revIDLastSave="0" documentId="8_{36807B92-80D8-4F61-9BE7-805F3F856FD0}" xr6:coauthVersionLast="47" xr6:coauthVersionMax="47" xr10:uidLastSave="{00000000-0000-0000-0000-000000000000}"/>
  <bookViews>
    <workbookView xWindow="-120" yWindow="-120" windowWidth="29040" windowHeight="15720" activeTab="2" xr2:uid="{DD13369F-C45B-449A-AB65-6B31059A1373}"/>
  </bookViews>
  <sheets>
    <sheet name="GÁSPEA INT" sheetId="2" r:id="rId1"/>
    <sheet name="GÁSPEA EXT" sheetId="3" r:id="rId2"/>
    <sheet name="Calculos" sheetId="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1" hidden="1">'GÁSPEA EXT'!$P$9:$P$44</definedName>
    <definedName name="_xlnm._FilterDatabase" localSheetId="0" hidden="1">'GÁSPEA INT'!$P$9:$P$44</definedName>
    <definedName name="a">#REF!</definedName>
    <definedName name="ad">[4]COSTURA!$A$52</definedName>
    <definedName name="AKROPMAI">#REF!</definedName>
    <definedName name="AKROPS">#REF!</definedName>
    <definedName name="AKROPSMAI">#REF!</definedName>
    <definedName name="APAGAR">[5]MPS!$K$2:$M$218,[5]MPS!$S$2:$T$218,[5]MPS!$Y$2:$Z$218</definedName>
    <definedName name="_xlnm.Print_Area" localSheetId="1">'GÁSPEA EXT'!$B$2:$N$44</definedName>
    <definedName name="_xlnm.Print_Area" localSheetId="0">'GÁSPEA INT'!$B$2:$N$44</definedName>
    <definedName name="B">#REF!</definedName>
    <definedName name="Camadas">#REF!</definedName>
    <definedName name="cc">'[6]Distribuição MAIO (2)'!$C$1</definedName>
    <definedName name="EVEREST">#REF!</definedName>
    <definedName name="Exp">#REF!</definedName>
    <definedName name="gap">[7]Listas!$F$2:$F$3</definedName>
    <definedName name="Interno">#REF!</definedName>
    <definedName name="Materiais">#REF!</definedName>
    <definedName name="MELENA">#REF!</definedName>
    <definedName name="motor">[7]Listas!$E$2:$E$5</definedName>
    <definedName name="NOBUCK">#REF!</definedName>
    <definedName name="op">#REF!</definedName>
    <definedName name="PARAMETROS_EVA_BLOCOS">'[8]Parâmetros EVA'!$B$4:$C$9</definedName>
    <definedName name="PARAMETROS_EVA_COMPOSTO_X_ESPESSURA">'[8]Parâmetros EVA'!$G:$P</definedName>
    <definedName name="PARAMETROS_EVA_COMPOSTOS_EVA">'[8]Parâmetros EVA'!$B$4:$B$9</definedName>
    <definedName name="PARAMETROS_EVA_ESPESSURAS_EVA">'[8]Parâmetros EVA'!$E$4:$E$26</definedName>
    <definedName name="PC_ESTAGIO">[8]PC!$NV$4</definedName>
    <definedName name="PC_PROJETO_CODIGO">[8]PC!$B$4</definedName>
    <definedName name="PC_PROJETO_DESCRICAO">[8]PC!$AP$4</definedName>
    <definedName name="PC_PROJETO_LANCAMENTO">[8]PC!$HR$4</definedName>
    <definedName name="RIVER">#REF!</definedName>
    <definedName name="TOKIOMAI">#REF!</definedName>
    <definedName name="total_Cost">#REF!</definedName>
    <definedName name="ut">#REF!</definedName>
    <definedName name="ve">#REF!</definedName>
    <definedName name="VELCRO">#REF!</definedName>
    <definedName name="WARLOCK">#REF!</definedName>
    <definedName name="WINNER">#REF!</definedName>
    <definedName name="YUMEI">#REF!</definedName>
    <definedName name="Z_07F24D8C_E939_11DC_A60F_000103D55E81_.wvu.Cols" hidden="1">#REF!</definedName>
    <definedName name="Z_07F24D8C_E939_11DC_A60F_000103D55E81_.wvu.Rows" hidden="1">#REF!</definedName>
    <definedName name="Z_07F24D8E_E939_11DC_A60F_000103D55E81_.wvu.Cols" hidden="1">#REF!</definedName>
    <definedName name="Z_07F24D8E_E939_11DC_A60F_000103D55E81_.wvu.Row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" i="4" l="1"/>
  <c r="F3" i="4" s="1"/>
  <c r="R6" i="4"/>
  <c r="S6" i="4"/>
  <c r="X6" i="4"/>
  <c r="Y6" i="4"/>
  <c r="R7" i="4"/>
  <c r="S7" i="4"/>
  <c r="Y7" i="4"/>
  <c r="R8" i="4"/>
  <c r="S8" i="4"/>
  <c r="Y8" i="4"/>
  <c r="R9" i="4"/>
  <c r="R17" i="4" s="1"/>
  <c r="S9" i="4"/>
  <c r="Y9" i="4"/>
  <c r="R10" i="4"/>
  <c r="S10" i="4"/>
  <c r="Y10" i="4"/>
  <c r="R11" i="4"/>
  <c r="S11" i="4"/>
  <c r="Y11" i="4"/>
  <c r="E12" i="4"/>
  <c r="R12" i="4"/>
  <c r="S12" i="4"/>
  <c r="Y12" i="4"/>
  <c r="R13" i="4"/>
  <c r="S13" i="4"/>
  <c r="Y13" i="4"/>
  <c r="R14" i="4"/>
  <c r="S14" i="4"/>
  <c r="X14" i="4"/>
  <c r="Y14" i="4"/>
  <c r="R15" i="4"/>
  <c r="S15" i="4"/>
  <c r="Y15" i="4"/>
  <c r="B36" i="4"/>
  <c r="B39" i="4"/>
  <c r="C39" i="4"/>
  <c r="G39" i="4" s="1"/>
  <c r="H39" i="4" s="1"/>
  <c r="D39" i="4"/>
  <c r="E39" i="4"/>
  <c r="F39" i="4"/>
  <c r="B40" i="4"/>
  <c r="C40" i="4"/>
  <c r="G40" i="4" s="1"/>
  <c r="D40" i="4"/>
  <c r="E40" i="4"/>
  <c r="F40" i="4"/>
  <c r="B41" i="4"/>
  <c r="C41" i="4"/>
  <c r="G41" i="4" s="1"/>
  <c r="D41" i="4"/>
  <c r="E41" i="4"/>
  <c r="F41" i="4"/>
  <c r="B42" i="4"/>
  <c r="D42" i="4"/>
  <c r="C42" i="4" s="1"/>
  <c r="G42" i="4" s="1"/>
  <c r="E42" i="4"/>
  <c r="F42" i="4"/>
  <c r="B43" i="4"/>
  <c r="D43" i="4"/>
  <c r="C43" i="4" s="1"/>
  <c r="G43" i="4" s="1"/>
  <c r="H43" i="4" s="1"/>
  <c r="E43" i="4"/>
  <c r="F43" i="4"/>
  <c r="B44" i="4"/>
  <c r="D44" i="4"/>
  <c r="C44" i="4" s="1"/>
  <c r="G44" i="4" s="1"/>
  <c r="H44" i="4" s="1"/>
  <c r="E44" i="4"/>
  <c r="F44" i="4"/>
  <c r="B45" i="4"/>
  <c r="H45" i="4" s="1"/>
  <c r="D45" i="4"/>
  <c r="E45" i="4"/>
  <c r="C45" i="4" s="1"/>
  <c r="G45" i="4" s="1"/>
  <c r="F45" i="4"/>
  <c r="B46" i="4"/>
  <c r="C46" i="4"/>
  <c r="G46" i="4" s="1"/>
  <c r="D46" i="4"/>
  <c r="E46" i="4"/>
  <c r="F46" i="4"/>
  <c r="B47" i="4"/>
  <c r="H47" i="4" s="1"/>
  <c r="D47" i="4"/>
  <c r="C47" i="4" s="1"/>
  <c r="G47" i="4" s="1"/>
  <c r="E47" i="4"/>
  <c r="F47" i="4"/>
  <c r="B48" i="4"/>
  <c r="D48" i="4"/>
  <c r="C48" i="4" s="1"/>
  <c r="G48" i="4" s="1"/>
  <c r="E48" i="4"/>
  <c r="F48" i="4"/>
  <c r="J27" i="3"/>
  <c r="J28" i="3"/>
  <c r="J29" i="3"/>
  <c r="J30" i="3"/>
  <c r="J31" i="3"/>
  <c r="J32" i="3"/>
  <c r="J33" i="3"/>
  <c r="J34" i="3"/>
  <c r="J35" i="3"/>
  <c r="J36" i="3"/>
  <c r="K45" i="3"/>
  <c r="K47" i="3"/>
  <c r="K51" i="3"/>
  <c r="J27" i="2"/>
  <c r="J28" i="2"/>
  <c r="J29" i="2"/>
  <c r="J30" i="2"/>
  <c r="J31" i="2"/>
  <c r="J32" i="2"/>
  <c r="J33" i="2"/>
  <c r="J34" i="2"/>
  <c r="J35" i="2"/>
  <c r="J36" i="2"/>
  <c r="K45" i="2"/>
  <c r="H42" i="4" l="1"/>
  <c r="H46" i="4"/>
  <c r="H40" i="4"/>
  <c r="L39" i="4" s="1"/>
  <c r="H41" i="4"/>
  <c r="H48" i="4"/>
</calcChain>
</file>

<file path=xl/sharedStrings.xml><?xml version="1.0" encoding="utf-8"?>
<sst xmlns="http://schemas.openxmlformats.org/spreadsheetml/2006/main" count="364" uniqueCount="148">
  <si>
    <t>ATENÇÃO CORTAR SÓ NA LARGURA</t>
  </si>
  <si>
    <t>434</t>
  </si>
  <si>
    <t>420</t>
  </si>
  <si>
    <t>410</t>
  </si>
  <si>
    <t>400</t>
  </si>
  <si>
    <t>390</t>
  </si>
  <si>
    <t>378</t>
  </si>
  <si>
    <t>CONF.PROG.</t>
  </si>
  <si>
    <t>ESTATÍSTICA</t>
  </si>
  <si>
    <t>Prs/mt.</t>
  </si>
  <si>
    <t>mt/par</t>
  </si>
  <si>
    <t>Prs/pl</t>
  </si>
  <si>
    <t>No.</t>
  </si>
  <si>
    <t>PEÇA</t>
  </si>
  <si>
    <t>Grendene Sobral S/A - Métodos e Processos / Consumos</t>
  </si>
  <si>
    <t>PLANILHA DE CONSUMOS</t>
  </si>
  <si>
    <t>TABELA DE CONSUMO</t>
  </si>
  <si>
    <t>Pares</t>
  </si>
  <si>
    <t>Código</t>
  </si>
  <si>
    <t>Modelos</t>
  </si>
  <si>
    <t>LEMBRETE:O COVERLINE  REPRESENTA 31% DO PREÇO DO NOSSO CALÇADO.CONTAMOS COM VOCÊ PARA UM BOM APROV.</t>
  </si>
  <si>
    <t>CONFERIR NAVALHA COM  A CHAPELONA, DE HORA EM HORA E AO INICIO DE CADA PLANO OU REFERENCIA.</t>
  </si>
  <si>
    <t>FERRAMENTAL DO 11751</t>
  </si>
  <si>
    <t>CORTE A FIO</t>
  </si>
  <si>
    <t>118,1</t>
  </si>
  <si>
    <t>L</t>
  </si>
  <si>
    <t>10</t>
  </si>
  <si>
    <t>137,3</t>
  </si>
  <si>
    <t>09</t>
  </si>
  <si>
    <t>138,5</t>
  </si>
  <si>
    <t>08</t>
  </si>
  <si>
    <t>112,5</t>
  </si>
  <si>
    <t>07</t>
  </si>
  <si>
    <t>137,7</t>
  </si>
  <si>
    <t>06</t>
  </si>
  <si>
    <t>138,8</t>
  </si>
  <si>
    <t>05</t>
  </si>
  <si>
    <t>136,9</t>
  </si>
  <si>
    <t>04</t>
  </si>
  <si>
    <t>138,4</t>
  </si>
  <si>
    <t>03</t>
  </si>
  <si>
    <t>120,5</t>
  </si>
  <si>
    <t>02</t>
  </si>
  <si>
    <t>01</t>
  </si>
  <si>
    <t>MED.</t>
  </si>
  <si>
    <t>POS.</t>
  </si>
  <si>
    <t>NÚM.</t>
  </si>
  <si>
    <t>BAT.</t>
  </si>
  <si>
    <t>SEQU.</t>
  </si>
  <si>
    <t>SISTEMA DE CORTE PARA MATERIAL COM LARGURA ATÉ 139 CM (1º FAIXA)</t>
  </si>
  <si>
    <t>COMP.</t>
  </si>
  <si>
    <t>LARG.</t>
  </si>
  <si>
    <t>NUM.</t>
  </si>
  <si>
    <t>MEDIDAS DAS NAVALHAS</t>
  </si>
  <si>
    <t>POSIÇÃO DO CORTE</t>
  </si>
  <si>
    <t>3,32</t>
  </si>
  <si>
    <t>45</t>
  </si>
  <si>
    <t>8,23</t>
  </si>
  <si>
    <t>4 FOLHAS (2 BIDIM PARA BAIXO E 2 BIDIM PARA CIMA) LADO NO PANO</t>
  </si>
  <si>
    <t>15,72</t>
  </si>
  <si>
    <t>42</t>
  </si>
  <si>
    <t xml:space="preserve">NUMERO DE FOLHAS </t>
  </si>
  <si>
    <t>18,50</t>
  </si>
  <si>
    <t>41</t>
  </si>
  <si>
    <t>17,35</t>
  </si>
  <si>
    <t>40</t>
  </si>
  <si>
    <t>16,48</t>
  </si>
  <si>
    <t>39</t>
  </si>
  <si>
    <t>LAM TRIP VINYL FF 1,0 ZAMBIA OFFWHITE+E2MMD26CZ+1696BCO(MO@M</t>
  </si>
  <si>
    <t>10,70</t>
  </si>
  <si>
    <t>TIPO DE MATERIAL</t>
  </si>
  <si>
    <t>6,93</t>
  </si>
  <si>
    <t>36</t>
  </si>
  <si>
    <t>2,12</t>
  </si>
  <si>
    <t>35</t>
  </si>
  <si>
    <t>SOBRAL</t>
  </si>
  <si>
    <t>GÁSPEA INTERNA</t>
  </si>
  <si>
    <t>0,65</t>
  </si>
  <si>
    <t>334</t>
  </si>
  <si>
    <t>FÁBRICA</t>
  </si>
  <si>
    <t>TIPO DE PEÇA</t>
  </si>
  <si>
    <t>CONSUMO</t>
  </si>
  <si>
    <t>ESTAT.</t>
  </si>
  <si>
    <t>PRS/NAV</t>
  </si>
  <si>
    <t>Nº</t>
  </si>
  <si>
    <t>Data arquivo:</t>
  </si>
  <si>
    <t>VOLUME:</t>
  </si>
  <si>
    <t>Acondicionamento (pares):</t>
  </si>
  <si>
    <t>PARES POR HORA (Crato):</t>
  </si>
  <si>
    <t>PARES POR HORA (Sobral/Fortaleza):</t>
  </si>
  <si>
    <t>BALANCIM PONTE</t>
  </si>
  <si>
    <t>MODELO_12738_RIDER SLX COMMUTER SPECIAL PACK ENERGIA</t>
  </si>
  <si>
    <t xml:space="preserve"> </t>
  </si>
  <si>
    <t>134,3</t>
  </si>
  <si>
    <t>136,7</t>
  </si>
  <si>
    <t>139,0</t>
  </si>
  <si>
    <t>138,1</t>
  </si>
  <si>
    <t>118,0</t>
  </si>
  <si>
    <t>137,4</t>
  </si>
  <si>
    <t>136,6</t>
  </si>
  <si>
    <t>136,3</t>
  </si>
  <si>
    <t>GÁSPEA EXTERNA</t>
  </si>
  <si>
    <t>.</t>
  </si>
  <si>
    <t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t>
  </si>
  <si>
    <t>19,79</t>
  </si>
  <si>
    <t>19,45</t>
  </si>
  <si>
    <t>21,73</t>
  </si>
  <si>
    <t>19,13</t>
  </si>
  <si>
    <t>21,36</t>
  </si>
  <si>
    <t>38</t>
  </si>
  <si>
    <t>18,81</t>
  </si>
  <si>
    <t>20,98</t>
  </si>
  <si>
    <t>37</t>
  </si>
  <si>
    <t>18,49</t>
  </si>
  <si>
    <t>20,61</t>
  </si>
  <si>
    <t>18,17</t>
  </si>
  <si>
    <t>20,24</t>
  </si>
  <si>
    <t>'434','45'</t>
  </si>
  <si>
    <t>1273801CF7170450</t>
  </si>
  <si>
    <t>17,88</t>
  </si>
  <si>
    <t>19,86</t>
  </si>
  <si>
    <t>1273801CF7170434</t>
  </si>
  <si>
    <t>LARG.2</t>
  </si>
  <si>
    <t>LARG.1</t>
  </si>
  <si>
    <t>1273801CF7170420</t>
  </si>
  <si>
    <t>1273801CF7170410</t>
  </si>
  <si>
    <t>1273801CF7170400</t>
  </si>
  <si>
    <t>1273801CF7170390</t>
  </si>
  <si>
    <t>22,1</t>
  </si>
  <si>
    <t>1273801CF7170378</t>
  </si>
  <si>
    <t>GASPEA_INT</t>
  </si>
  <si>
    <t>1273801CF7170360</t>
  </si>
  <si>
    <t>'334','35','36','378','39','40','41','42'</t>
  </si>
  <si>
    <t>1273801CF7170350</t>
  </si>
  <si>
    <t>394</t>
  </si>
  <si>
    <t>1273801CF7170334</t>
  </si>
  <si>
    <t>GÁSPEA EXT</t>
  </si>
  <si>
    <t>GÁSPEA INT</t>
  </si>
  <si>
    <t>Qtde. Produto</t>
  </si>
  <si>
    <t>Produto</t>
  </si>
  <si>
    <t>356</t>
  </si>
  <si>
    <t>Consumo</t>
  </si>
  <si>
    <t>Reserva</t>
  </si>
  <si>
    <t>Ton P</t>
  </si>
  <si>
    <t>Ton 2</t>
  </si>
  <si>
    <t>Ton 1</t>
  </si>
  <si>
    <t>CABEDAL</t>
  </si>
  <si>
    <t>LINGUETA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</si>
</sst>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000"/>
    <numFmt numFmtId="167" formatCode="0.00000"/>
    <numFmt numFmtId="168" formatCode="0.00000000"/>
    <numFmt numFmtId="169" formatCode="_(* #,##0.00_);_(* \(#,##0.00\);_(* &quot;-&quot;??_);_(@_)"/>
    <numFmt numFmtId="170" formatCode="_(* #,##0_);_(* \(#,##0\);_(* &quot;-&quot;_);_(@_)"/>
  </numFmts>
  <fonts count="3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1"/>
      <color indexed="18"/>
      <name val="Arial"/>
      <family val="2"/>
    </font>
    <font>
      <b/>
      <sz val="10"/>
      <name val="Arial"/>
      <family val="2"/>
    </font>
    <font>
      <b/>
      <sz val="10"/>
      <color indexed="18"/>
      <name val="Arial Narrow"/>
      <family val="2"/>
    </font>
    <font>
      <b/>
      <sz val="10"/>
      <color indexed="10"/>
      <name val="Arial"/>
      <family val="2"/>
    </font>
    <font>
      <b/>
      <sz val="18"/>
      <color rgb="FFFF0000"/>
      <name val="Arial"/>
      <family val="2"/>
    </font>
    <font>
      <b/>
      <sz val="24"/>
      <name val="Arial"/>
      <family val="2"/>
    </font>
    <font>
      <b/>
      <sz val="18"/>
      <color indexed="1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0"/>
      <color indexed="18"/>
      <name val="Arial"/>
      <family val="2"/>
    </font>
    <font>
      <b/>
      <sz val="16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color indexed="10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b/>
      <sz val="13"/>
      <color indexed="18"/>
      <name val="Arial"/>
      <family val="2"/>
    </font>
    <font>
      <b/>
      <sz val="13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b/>
      <sz val="15"/>
      <color indexed="18"/>
      <name val="Arial"/>
      <family val="2"/>
    </font>
    <font>
      <b/>
      <i/>
      <sz val="11"/>
      <name val="Arial"/>
      <family val="2"/>
    </font>
    <font>
      <sz val="9"/>
      <name val="Arial"/>
      <family val="2"/>
    </font>
    <font>
      <b/>
      <i/>
      <sz val="14"/>
      <color indexed="18"/>
      <name val="Arial"/>
      <family val="2"/>
    </font>
    <font>
      <b/>
      <i/>
      <sz val="11"/>
      <color indexed="18"/>
      <name val="Arial"/>
      <family val="2"/>
    </font>
    <font>
      <b/>
      <sz val="14"/>
      <color indexed="62"/>
      <name val="Arial"/>
      <family val="2"/>
    </font>
    <font>
      <b/>
      <i/>
      <sz val="13.5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</cellStyleXfs>
  <cellXfs count="207">
    <xf numFmtId="0" fontId="0" fillId="0" borderId="0" xfId="0"/>
    <xf numFmtId="0" fontId="2" fillId="0" borderId="0" xfId="1"/>
    <xf numFmtId="0" fontId="2" fillId="0" borderId="1" xfId="1" applyBorder="1" applyAlignment="1">
      <alignment horizontal="center"/>
    </xf>
    <xf numFmtId="0" fontId="3" fillId="0" borderId="0" xfId="1" applyFont="1"/>
    <xf numFmtId="164" fontId="3" fillId="0" borderId="2" xfId="1" applyNumberFormat="1" applyFont="1" applyBorder="1"/>
    <xf numFmtId="165" fontId="3" fillId="0" borderId="2" xfId="1" applyNumberFormat="1" applyFont="1" applyBorder="1"/>
    <xf numFmtId="2" fontId="3" fillId="2" borderId="2" xfId="1" applyNumberFormat="1" applyFont="1" applyFill="1" applyBorder="1" applyAlignment="1">
      <alignment horizontal="center"/>
    </xf>
    <xf numFmtId="1" fontId="3" fillId="0" borderId="2" xfId="1" applyNumberFormat="1" applyFont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49" fontId="4" fillId="2" borderId="2" xfId="1" applyNumberFormat="1" applyFont="1" applyFill="1" applyBorder="1" applyAlignment="1">
      <alignment horizontal="center"/>
    </xf>
    <xf numFmtId="2" fontId="5" fillId="2" borderId="3" xfId="1" applyNumberFormat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0" fontId="3" fillId="2" borderId="0" xfId="1" quotePrefix="1" applyFont="1" applyFill="1" applyAlignment="1">
      <alignment horizontal="center"/>
    </xf>
    <xf numFmtId="166" fontId="3" fillId="2" borderId="0" xfId="1" applyNumberFormat="1" applyFont="1" applyFill="1" applyAlignment="1">
      <alignment horizontal="center"/>
    </xf>
    <xf numFmtId="2" fontId="3" fillId="2" borderId="0" xfId="1" applyNumberFormat="1" applyFont="1" applyFill="1" applyAlignment="1">
      <alignment horizontal="center"/>
    </xf>
    <xf numFmtId="49" fontId="4" fillId="2" borderId="0" xfId="1" applyNumberFormat="1" applyFont="1" applyFill="1" applyAlignment="1">
      <alignment horizontal="center"/>
    </xf>
    <xf numFmtId="2" fontId="4" fillId="0" borderId="4" xfId="1" applyNumberFormat="1" applyFont="1" applyBorder="1" applyAlignment="1">
      <alignment horizontal="centerContinuous"/>
    </xf>
    <xf numFmtId="0" fontId="4" fillId="0" borderId="3" xfId="1" applyFont="1" applyBorder="1" applyAlignment="1">
      <alignment horizontal="centerContinuous"/>
    </xf>
    <xf numFmtId="2" fontId="3" fillId="2" borderId="5" xfId="1" applyNumberFormat="1" applyFont="1" applyFill="1" applyBorder="1" applyAlignment="1">
      <alignment horizontal="center"/>
    </xf>
    <xf numFmtId="166" fontId="3" fillId="2" borderId="4" xfId="1" applyNumberFormat="1" applyFont="1" applyFill="1" applyBorder="1" applyAlignment="1">
      <alignment horizontal="center"/>
    </xf>
    <xf numFmtId="167" fontId="3" fillId="3" borderId="3" xfId="1" applyNumberFormat="1" applyFont="1" applyFill="1" applyBorder="1" applyAlignment="1">
      <alignment horizontal="center"/>
    </xf>
    <xf numFmtId="2" fontId="3" fillId="2" borderId="6" xfId="1" applyNumberFormat="1" applyFont="1" applyFill="1" applyBorder="1" applyAlignment="1">
      <alignment horizontal="center"/>
    </xf>
    <xf numFmtId="168" fontId="3" fillId="2" borderId="4" xfId="1" applyNumberFormat="1" applyFont="1" applyFill="1" applyBorder="1" applyAlignment="1">
      <alignment horizontal="center"/>
    </xf>
    <xf numFmtId="167" fontId="6" fillId="4" borderId="3" xfId="1" applyNumberFormat="1" applyFont="1" applyFill="1" applyBorder="1" applyAlignment="1">
      <alignment horizontal="center"/>
    </xf>
    <xf numFmtId="2" fontId="3" fillId="3" borderId="3" xfId="1" applyNumberFormat="1" applyFont="1" applyFill="1" applyBorder="1" applyAlignment="1">
      <alignment horizontal="center"/>
    </xf>
    <xf numFmtId="0" fontId="3" fillId="2" borderId="6" xfId="1" applyFont="1" applyFill="1" applyBorder="1" applyAlignment="1">
      <alignment horizontal="center"/>
    </xf>
    <xf numFmtId="49" fontId="4" fillId="0" borderId="3" xfId="1" applyNumberFormat="1" applyFont="1" applyBorder="1" applyAlignment="1">
      <alignment horizontal="center"/>
    </xf>
    <xf numFmtId="0" fontId="4" fillId="0" borderId="4" xfId="1" applyFont="1" applyBorder="1" applyAlignment="1">
      <alignment horizontal="centerContinuous"/>
    </xf>
    <xf numFmtId="0" fontId="7" fillId="0" borderId="4" xfId="1" applyFont="1" applyBorder="1" applyAlignment="1">
      <alignment horizontal="centerContinuous"/>
    </xf>
    <xf numFmtId="0" fontId="7" fillId="0" borderId="7" xfId="1" applyFont="1" applyBorder="1" applyAlignment="1">
      <alignment horizontal="centerContinuous"/>
    </xf>
    <xf numFmtId="0" fontId="6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8" fillId="0" borderId="0" xfId="1" applyFont="1"/>
    <xf numFmtId="10" fontId="8" fillId="0" borderId="0" xfId="1" applyNumberFormat="1" applyFont="1"/>
    <xf numFmtId="0" fontId="2" fillId="0" borderId="5" xfId="1" applyBorder="1"/>
    <xf numFmtId="0" fontId="2" fillId="0" borderId="6" xfId="1" applyBorder="1"/>
    <xf numFmtId="0" fontId="2" fillId="0" borderId="9" xfId="1" applyBorder="1"/>
    <xf numFmtId="0" fontId="2" fillId="0" borderId="10" xfId="1" applyBorder="1"/>
    <xf numFmtId="0" fontId="2" fillId="0" borderId="11" xfId="1" applyBorder="1"/>
    <xf numFmtId="0" fontId="2" fillId="0" borderId="12" xfId="1" applyBorder="1"/>
    <xf numFmtId="0" fontId="2" fillId="0" borderId="13" xfId="1" applyBorder="1"/>
    <xf numFmtId="0" fontId="2" fillId="0" borderId="2" xfId="1" applyBorder="1"/>
    <xf numFmtId="0" fontId="2" fillId="0" borderId="14" xfId="1" applyBorder="1"/>
    <xf numFmtId="0" fontId="2" fillId="0" borderId="15" xfId="1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  <xf numFmtId="0" fontId="2" fillId="0" borderId="16" xfId="1" applyBorder="1"/>
    <xf numFmtId="0" fontId="10" fillId="0" borderId="17" xfId="1" applyFon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1" fillId="0" borderId="19" xfId="1" applyFont="1" applyBorder="1" applyAlignment="1">
      <alignment horizontal="center"/>
    </xf>
    <xf numFmtId="0" fontId="11" fillId="0" borderId="6" xfId="1" applyFont="1" applyBorder="1" applyAlignment="1">
      <alignment horizontal="center"/>
    </xf>
    <xf numFmtId="0" fontId="11" fillId="0" borderId="20" xfId="1" applyFont="1" applyBorder="1" applyAlignment="1">
      <alignment horizontal="center"/>
    </xf>
    <xf numFmtId="0" fontId="12" fillId="0" borderId="15" xfId="2" applyFont="1" applyBorder="1" applyAlignment="1">
      <alignment horizontal="center"/>
    </xf>
    <xf numFmtId="0" fontId="12" fillId="0" borderId="0" xfId="2" applyFont="1" applyAlignment="1">
      <alignment horizontal="center"/>
    </xf>
    <xf numFmtId="0" fontId="12" fillId="0" borderId="16" xfId="2" applyFont="1" applyBorder="1" applyAlignment="1">
      <alignment horizontal="center"/>
    </xf>
    <xf numFmtId="0" fontId="13" fillId="0" borderId="1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6" xfId="1" applyFont="1" applyBorder="1" applyAlignment="1">
      <alignment horizontal="center" vertical="center" wrapText="1"/>
    </xf>
    <xf numFmtId="165" fontId="14" fillId="0" borderId="13" xfId="1" applyNumberFormat="1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49" fontId="15" fillId="0" borderId="14" xfId="1" applyNumberFormat="1" applyFont="1" applyBorder="1" applyAlignment="1">
      <alignment horizontal="center"/>
    </xf>
    <xf numFmtId="0" fontId="2" fillId="5" borderId="0" xfId="1" applyFill="1"/>
    <xf numFmtId="0" fontId="2" fillId="5" borderId="15" xfId="1" applyFill="1" applyBorder="1"/>
    <xf numFmtId="165" fontId="14" fillId="5" borderId="13" xfId="1" applyNumberFormat="1" applyFont="1" applyFill="1" applyBorder="1" applyAlignment="1">
      <alignment horizontal="center"/>
    </xf>
    <xf numFmtId="0" fontId="14" fillId="5" borderId="2" xfId="1" applyFont="1" applyFill="1" applyBorder="1" applyAlignment="1">
      <alignment horizontal="center" vertical="center"/>
    </xf>
    <xf numFmtId="49" fontId="15" fillId="5" borderId="14" xfId="1" applyNumberFormat="1" applyFont="1" applyFill="1" applyBorder="1" applyAlignment="1">
      <alignment horizontal="center"/>
    </xf>
    <xf numFmtId="0" fontId="2" fillId="5" borderId="16" xfId="1" applyFill="1" applyBorder="1"/>
    <xf numFmtId="2" fontId="14" fillId="0" borderId="2" xfId="1" applyNumberFormat="1" applyFont="1" applyBorder="1" applyAlignment="1">
      <alignment horizontal="center" vertical="center"/>
    </xf>
    <xf numFmtId="0" fontId="16" fillId="0" borderId="22" xfId="1" applyFont="1" applyBorder="1" applyAlignment="1">
      <alignment horizontal="center"/>
    </xf>
    <xf numFmtId="0" fontId="16" fillId="0" borderId="21" xfId="1" applyFont="1" applyBorder="1" applyAlignment="1">
      <alignment horizontal="center"/>
    </xf>
    <xf numFmtId="0" fontId="16" fillId="0" borderId="23" xfId="1" applyFont="1" applyBorder="1" applyAlignment="1">
      <alignment horizontal="center"/>
    </xf>
    <xf numFmtId="0" fontId="17" fillId="6" borderId="22" xfId="1" applyFont="1" applyFill="1" applyBorder="1" applyAlignment="1">
      <alignment horizontal="center"/>
    </xf>
    <xf numFmtId="0" fontId="17" fillId="6" borderId="21" xfId="1" applyFont="1" applyFill="1" applyBorder="1" applyAlignment="1">
      <alignment horizontal="center"/>
    </xf>
    <xf numFmtId="0" fontId="17" fillId="6" borderId="23" xfId="1" applyFont="1" applyFill="1" applyBorder="1" applyAlignment="1">
      <alignment horizontal="center"/>
    </xf>
    <xf numFmtId="0" fontId="2" fillId="2" borderId="0" xfId="1" applyFill="1"/>
    <xf numFmtId="0" fontId="2" fillId="2" borderId="2" xfId="1" applyFill="1" applyBorder="1"/>
    <xf numFmtId="0" fontId="18" fillId="2" borderId="16" xfId="1" applyFont="1" applyFill="1" applyBorder="1"/>
    <xf numFmtId="0" fontId="8" fillId="0" borderId="15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18" fillId="2" borderId="0" xfId="1" applyFont="1" applyFill="1"/>
    <xf numFmtId="0" fontId="18" fillId="0" borderId="0" xfId="1" applyFont="1"/>
    <xf numFmtId="0" fontId="5" fillId="0" borderId="0" xfId="1" applyFont="1"/>
    <xf numFmtId="0" fontId="2" fillId="2" borderId="16" xfId="1" applyFill="1" applyBorder="1"/>
    <xf numFmtId="0" fontId="2" fillId="2" borderId="15" xfId="1" applyFill="1" applyBorder="1"/>
    <xf numFmtId="2" fontId="19" fillId="2" borderId="3" xfId="1" applyNumberFormat="1" applyFont="1" applyFill="1" applyBorder="1" applyAlignment="1">
      <alignment horizontal="center" vertical="center"/>
    </xf>
    <xf numFmtId="0" fontId="19" fillId="0" borderId="3" xfId="1" applyFont="1" applyBorder="1" applyAlignment="1">
      <alignment horizontal="center" vertical="center"/>
    </xf>
    <xf numFmtId="1" fontId="19" fillId="2" borderId="3" xfId="1" applyNumberFormat="1" applyFont="1" applyFill="1" applyBorder="1" applyAlignment="1">
      <alignment horizontal="center" vertical="center"/>
    </xf>
    <xf numFmtId="2" fontId="2" fillId="0" borderId="0" xfId="1" applyNumberFormat="1"/>
    <xf numFmtId="0" fontId="20" fillId="0" borderId="0" xfId="1" applyFont="1"/>
    <xf numFmtId="0" fontId="3" fillId="0" borderId="15" xfId="1" applyFont="1" applyBorder="1"/>
    <xf numFmtId="0" fontId="21" fillId="0" borderId="3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0" xfId="1" applyFont="1"/>
    <xf numFmtId="0" fontId="22" fillId="0" borderId="0" xfId="1" applyFont="1"/>
    <xf numFmtId="0" fontId="6" fillId="0" borderId="16" xfId="1" applyFont="1" applyBorder="1"/>
    <xf numFmtId="0" fontId="18" fillId="0" borderId="15" xfId="1" applyFont="1" applyBorder="1"/>
    <xf numFmtId="0" fontId="18" fillId="0" borderId="24" xfId="1" applyFont="1" applyBorder="1"/>
    <xf numFmtId="0" fontId="18" fillId="0" borderId="25" xfId="1" applyFont="1" applyBorder="1"/>
    <xf numFmtId="0" fontId="18" fillId="0" borderId="26" xfId="1" applyFont="1" applyBorder="1" applyAlignment="1">
      <alignment horizontal="left"/>
    </xf>
    <xf numFmtId="0" fontId="2" fillId="0" borderId="25" xfId="1" applyBorder="1"/>
    <xf numFmtId="0" fontId="5" fillId="0" borderId="25" xfId="1" applyFont="1" applyBorder="1" applyAlignment="1">
      <alignment horizontal="left"/>
    </xf>
    <xf numFmtId="0" fontId="18" fillId="0" borderId="25" xfId="1" applyFont="1" applyBorder="1" applyAlignment="1">
      <alignment horizontal="left"/>
    </xf>
    <xf numFmtId="0" fontId="18" fillId="0" borderId="27" xfId="1" applyFont="1" applyBorder="1"/>
    <xf numFmtId="0" fontId="23" fillId="0" borderId="0" xfId="1" applyFont="1"/>
    <xf numFmtId="0" fontId="2" fillId="0" borderId="22" xfId="1" applyBorder="1"/>
    <xf numFmtId="0" fontId="2" fillId="0" borderId="21" xfId="1" applyBorder="1"/>
    <xf numFmtId="0" fontId="6" fillId="7" borderId="23" xfId="1" applyFont="1" applyFill="1" applyBorder="1" applyAlignment="1">
      <alignment horizontal="center"/>
    </xf>
    <xf numFmtId="0" fontId="2" fillId="0" borderId="28" xfId="1" applyBorder="1"/>
    <xf numFmtId="10" fontId="8" fillId="0" borderId="2" xfId="3" applyNumberFormat="1" applyFont="1" applyBorder="1" applyAlignment="1">
      <alignment horizontal="center"/>
    </xf>
    <xf numFmtId="0" fontId="2" fillId="0" borderId="29" xfId="1" applyBorder="1"/>
    <xf numFmtId="0" fontId="2" fillId="0" borderId="30" xfId="1" applyBorder="1"/>
    <xf numFmtId="0" fontId="2" fillId="0" borderId="31" xfId="1" applyBorder="1"/>
    <xf numFmtId="49" fontId="16" fillId="0" borderId="16" xfId="1" applyNumberFormat="1" applyFont="1" applyBorder="1" applyAlignment="1">
      <alignment horizontal="center"/>
    </xf>
    <xf numFmtId="2" fontId="2" fillId="0" borderId="13" xfId="2" applyNumberFormat="1" applyBorder="1" applyAlignment="1">
      <alignment vertical="center"/>
    </xf>
    <xf numFmtId="2" fontId="2" fillId="0" borderId="2" xfId="2" applyNumberFormat="1" applyBorder="1" applyAlignment="1">
      <alignment vertical="center"/>
    </xf>
    <xf numFmtId="2" fontId="2" fillId="0" borderId="14" xfId="2" applyNumberFormat="1" applyBorder="1" applyAlignment="1">
      <alignment vertical="center"/>
    </xf>
    <xf numFmtId="0" fontId="24" fillId="0" borderId="32" xfId="1" applyFont="1" applyBorder="1" applyAlignment="1">
      <alignment vertical="center"/>
    </xf>
    <xf numFmtId="2" fontId="24" fillId="0" borderId="31" xfId="1" applyNumberFormat="1" applyFont="1" applyBorder="1" applyAlignment="1">
      <alignment horizontal="center" vertical="center"/>
    </xf>
    <xf numFmtId="0" fontId="24" fillId="0" borderId="33" xfId="1" applyFont="1" applyBorder="1" applyAlignment="1">
      <alignment horizontal="center" vertical="center"/>
    </xf>
    <xf numFmtId="49" fontId="24" fillId="0" borderId="16" xfId="1" applyNumberFormat="1" applyFont="1" applyBorder="1" applyAlignment="1">
      <alignment horizontal="center" vertical="center"/>
    </xf>
    <xf numFmtId="2" fontId="2" fillId="0" borderId="15" xfId="2" applyNumberFormat="1" applyBorder="1" applyAlignment="1">
      <alignment vertical="center"/>
    </xf>
    <xf numFmtId="2" fontId="2" fillId="0" borderId="0" xfId="2" applyNumberFormat="1" applyAlignment="1">
      <alignment vertical="center"/>
    </xf>
    <xf numFmtId="2" fontId="2" fillId="0" borderId="16" xfId="2" applyNumberFormat="1" applyBorder="1" applyAlignment="1">
      <alignment vertical="center"/>
    </xf>
    <xf numFmtId="2" fontId="25" fillId="0" borderId="31" xfId="1" applyNumberFormat="1" applyFont="1" applyBorder="1" applyAlignment="1">
      <alignment horizontal="center" vertical="center"/>
    </xf>
    <xf numFmtId="2" fontId="2" fillId="0" borderId="24" xfId="2" applyNumberFormat="1" applyBorder="1" applyAlignment="1">
      <alignment vertical="center"/>
    </xf>
    <xf numFmtId="2" fontId="2" fillId="0" borderId="25" xfId="2" applyNumberFormat="1" applyBorder="1" applyAlignment="1">
      <alignment vertical="center"/>
    </xf>
    <xf numFmtId="2" fontId="26" fillId="0" borderId="27" xfId="3" applyNumberFormat="1" applyFont="1" applyBorder="1" applyAlignment="1">
      <alignment horizontal="center" vertical="center" wrapText="1"/>
    </xf>
    <xf numFmtId="0" fontId="6" fillId="7" borderId="22" xfId="1" applyFont="1" applyFill="1" applyBorder="1" applyAlignment="1">
      <alignment horizontal="center" vertical="center"/>
    </xf>
    <xf numFmtId="0" fontId="6" fillId="7" borderId="21" xfId="1" applyFont="1" applyFill="1" applyBorder="1" applyAlignment="1">
      <alignment horizontal="center" vertical="center"/>
    </xf>
    <xf numFmtId="0" fontId="6" fillId="7" borderId="23" xfId="1" applyFont="1" applyFill="1" applyBorder="1" applyAlignment="1">
      <alignment horizontal="center" vertical="center"/>
    </xf>
    <xf numFmtId="2" fontId="24" fillId="0" borderId="32" xfId="1" applyNumberFormat="1" applyFont="1" applyBorder="1" applyAlignment="1">
      <alignment horizontal="center" vertical="center"/>
    </xf>
    <xf numFmtId="10" fontId="26" fillId="0" borderId="28" xfId="3" applyNumberFormat="1" applyFont="1" applyBorder="1" applyAlignment="1">
      <alignment horizontal="center" vertical="center" wrapText="1"/>
    </xf>
    <xf numFmtId="10" fontId="26" fillId="0" borderId="2" xfId="3" applyNumberFormat="1" applyFont="1" applyBorder="1" applyAlignment="1">
      <alignment horizontal="center" vertical="center" wrapText="1"/>
    </xf>
    <xf numFmtId="10" fontId="26" fillId="0" borderId="29" xfId="3" applyNumberFormat="1" applyFont="1" applyBorder="1" applyAlignment="1">
      <alignment horizontal="center" vertical="center" wrapText="1"/>
    </xf>
    <xf numFmtId="10" fontId="26" fillId="0" borderId="32" xfId="3" applyNumberFormat="1" applyFont="1" applyBorder="1" applyAlignment="1">
      <alignment horizontal="center" vertical="center" wrapText="1"/>
    </xf>
    <xf numFmtId="10" fontId="26" fillId="0" borderId="0" xfId="3" applyNumberFormat="1" applyFont="1" applyBorder="1" applyAlignment="1">
      <alignment horizontal="center" vertical="center" wrapText="1"/>
    </xf>
    <xf numFmtId="10" fontId="26" fillId="0" borderId="31" xfId="3" applyNumberFormat="1" applyFont="1" applyBorder="1" applyAlignment="1">
      <alignment horizontal="center" vertical="center" wrapText="1"/>
    </xf>
    <xf numFmtId="10" fontId="26" fillId="0" borderId="34" xfId="3" applyNumberFormat="1" applyFont="1" applyBorder="1" applyAlignment="1">
      <alignment horizontal="center" vertical="center" wrapText="1"/>
    </xf>
    <xf numFmtId="10" fontId="26" fillId="0" borderId="25" xfId="3" applyNumberFormat="1" applyFont="1" applyBorder="1" applyAlignment="1">
      <alignment horizontal="center" vertical="center" wrapText="1"/>
    </xf>
    <xf numFmtId="10" fontId="26" fillId="0" borderId="35" xfId="3" applyNumberFormat="1" applyFont="1" applyBorder="1" applyAlignment="1">
      <alignment horizontal="center" vertical="center" wrapText="1"/>
    </xf>
    <xf numFmtId="0" fontId="27" fillId="0" borderId="0" xfId="1" applyFont="1"/>
    <xf numFmtId="49" fontId="14" fillId="0" borderId="28" xfId="1" applyNumberFormat="1" applyFont="1" applyBorder="1" applyAlignment="1">
      <alignment horizontal="center" vertical="top" wrapText="1"/>
    </xf>
    <xf numFmtId="49" fontId="14" fillId="0" borderId="2" xfId="1" applyNumberFormat="1" applyFont="1" applyBorder="1" applyAlignment="1">
      <alignment horizontal="center" vertical="top" wrapText="1"/>
    </xf>
    <xf numFmtId="49" fontId="14" fillId="0" borderId="14" xfId="1" applyNumberFormat="1" applyFont="1" applyBorder="1" applyAlignment="1">
      <alignment horizontal="center" vertical="top" wrapText="1"/>
    </xf>
    <xf numFmtId="49" fontId="28" fillId="0" borderId="2" xfId="3" applyNumberFormat="1" applyFont="1" applyFill="1" applyBorder="1" applyAlignment="1">
      <alignment horizontal="center" vertical="top" wrapText="1"/>
    </xf>
    <xf numFmtId="49" fontId="28" fillId="0" borderId="29" xfId="3" applyNumberFormat="1" applyFont="1" applyFill="1" applyBorder="1" applyAlignment="1">
      <alignment horizontal="center" vertical="top" wrapText="1"/>
    </xf>
    <xf numFmtId="49" fontId="14" fillId="0" borderId="32" xfId="1" applyNumberFormat="1" applyFont="1" applyBorder="1" applyAlignment="1">
      <alignment horizontal="center" vertical="top" wrapText="1"/>
    </xf>
    <xf numFmtId="49" fontId="14" fillId="0" borderId="0" xfId="1" applyNumberFormat="1" applyFont="1" applyAlignment="1">
      <alignment horizontal="center" vertical="top" wrapText="1"/>
    </xf>
    <xf numFmtId="49" fontId="14" fillId="0" borderId="16" xfId="1" applyNumberFormat="1" applyFont="1" applyBorder="1" applyAlignment="1">
      <alignment horizontal="center" vertical="top" wrapText="1"/>
    </xf>
    <xf numFmtId="49" fontId="28" fillId="0" borderId="0" xfId="3" applyNumberFormat="1" applyFont="1" applyFill="1" applyBorder="1" applyAlignment="1">
      <alignment horizontal="center" vertical="top" wrapText="1"/>
    </xf>
    <xf numFmtId="49" fontId="28" fillId="0" borderId="31" xfId="3" applyNumberFormat="1" applyFont="1" applyFill="1" applyBorder="1" applyAlignment="1">
      <alignment horizontal="center" vertical="top" wrapText="1"/>
    </xf>
    <xf numFmtId="0" fontId="2" fillId="0" borderId="34" xfId="1" applyBorder="1"/>
    <xf numFmtId="10" fontId="8" fillId="0" borderId="25" xfId="3" applyNumberFormat="1" applyFont="1" applyBorder="1" applyAlignment="1">
      <alignment horizontal="center"/>
    </xf>
    <xf numFmtId="0" fontId="2" fillId="0" borderId="27" xfId="1" applyBorder="1"/>
    <xf numFmtId="49" fontId="28" fillId="0" borderId="25" xfId="3" applyNumberFormat="1" applyFont="1" applyFill="1" applyBorder="1" applyAlignment="1">
      <alignment vertical="top" wrapText="1"/>
    </xf>
    <xf numFmtId="49" fontId="28" fillId="0" borderId="35" xfId="3" applyNumberFormat="1" applyFont="1" applyFill="1" applyBorder="1" applyAlignment="1">
      <alignment vertical="top" wrapText="1"/>
    </xf>
    <xf numFmtId="0" fontId="2" fillId="0" borderId="35" xfId="1" applyBorder="1" applyAlignment="1">
      <alignment horizontal="center"/>
    </xf>
    <xf numFmtId="0" fontId="2" fillId="0" borderId="36" xfId="1" applyBorder="1"/>
    <xf numFmtId="0" fontId="8" fillId="0" borderId="36" xfId="1" applyFont="1" applyBorder="1"/>
    <xf numFmtId="0" fontId="6" fillId="7" borderId="37" xfId="1" applyFont="1" applyFill="1" applyBorder="1" applyAlignment="1">
      <alignment horizontal="center" vertical="center"/>
    </xf>
    <xf numFmtId="0" fontId="6" fillId="7" borderId="23" xfId="1" applyFont="1" applyFill="1" applyBorder="1" applyAlignment="1">
      <alignment horizontal="center" vertical="center"/>
    </xf>
    <xf numFmtId="22" fontId="8" fillId="0" borderId="2" xfId="1" applyNumberFormat="1" applyFont="1" applyBorder="1"/>
    <xf numFmtId="0" fontId="29" fillId="0" borderId="2" xfId="1" applyFont="1" applyBorder="1" applyAlignment="1">
      <alignment horizontal="left"/>
    </xf>
    <xf numFmtId="0" fontId="8" fillId="0" borderId="2" xfId="1" applyFont="1" applyBorder="1"/>
    <xf numFmtId="14" fontId="30" fillId="0" borderId="2" xfId="1" applyNumberFormat="1" applyFont="1" applyBorder="1" applyAlignment="1">
      <alignment horizontal="left" vertical="top"/>
    </xf>
    <xf numFmtId="0" fontId="30" fillId="0" borderId="0" xfId="1" applyFont="1" applyAlignment="1">
      <alignment horizontal="right" vertical="top"/>
    </xf>
    <xf numFmtId="170" fontId="8" fillId="0" borderId="0" xfId="4" applyNumberFormat="1" applyFont="1" applyBorder="1" applyAlignment="1">
      <alignment horizontal="left" vertical="center"/>
    </xf>
    <xf numFmtId="0" fontId="8" fillId="0" borderId="0" xfId="1" applyFont="1" applyAlignment="1">
      <alignment horizontal="right" vertical="center"/>
    </xf>
    <xf numFmtId="0" fontId="31" fillId="0" borderId="0" xfId="1" applyFont="1" applyAlignment="1">
      <alignment horizontal="left" vertical="center"/>
    </xf>
    <xf numFmtId="0" fontId="32" fillId="0" borderId="32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1" fontId="31" fillId="0" borderId="0" xfId="2" applyNumberFormat="1" applyFont="1" applyAlignment="1">
      <alignment horizontal="left" vertical="center"/>
    </xf>
    <xf numFmtId="0" fontId="31" fillId="0" borderId="0" xfId="2" applyFont="1" applyAlignment="1">
      <alignment horizontal="right" vertical="center"/>
    </xf>
    <xf numFmtId="0" fontId="2" fillId="0" borderId="0" xfId="2"/>
    <xf numFmtId="0" fontId="2" fillId="0" borderId="0" xfId="2" applyAlignment="1">
      <alignment vertical="center"/>
    </xf>
    <xf numFmtId="0" fontId="31" fillId="0" borderId="0" xfId="2" applyFont="1" applyAlignment="1">
      <alignment horizontal="left" vertical="center"/>
    </xf>
    <xf numFmtId="14" fontId="33" fillId="0" borderId="0" xfId="1" applyNumberFormat="1" applyFont="1" applyAlignment="1">
      <alignment horizontal="left" vertical="center"/>
    </xf>
    <xf numFmtId="0" fontId="2" fillId="7" borderId="0" xfId="1" applyFill="1"/>
    <xf numFmtId="0" fontId="2" fillId="7" borderId="0" xfId="1" applyFill="1" applyAlignment="1">
      <alignment horizontal="left" vertical="center"/>
    </xf>
    <xf numFmtId="0" fontId="34" fillId="7" borderId="0" xfId="1" applyFont="1" applyFill="1" applyAlignment="1">
      <alignment horizontal="left" vertical="center"/>
    </xf>
    <xf numFmtId="0" fontId="32" fillId="0" borderId="10" xfId="1" applyFont="1" applyBorder="1" applyAlignment="1">
      <alignment horizontal="center" vertical="center"/>
    </xf>
    <xf numFmtId="0" fontId="32" fillId="0" borderId="11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0" fontId="2" fillId="0" borderId="24" xfId="1" applyBorder="1"/>
    <xf numFmtId="2" fontId="0" fillId="0" borderId="0" xfId="0" applyNumberFormat="1"/>
    <xf numFmtId="0" fontId="0" fillId="0" borderId="3" xfId="0" applyBorder="1"/>
    <xf numFmtId="0" fontId="1" fillId="8" borderId="0" xfId="0" applyFont="1" applyFill="1"/>
    <xf numFmtId="0" fontId="0" fillId="8" borderId="38" xfId="0" applyFill="1" applyBorder="1"/>
    <xf numFmtId="0" fontId="35" fillId="9" borderId="38" xfId="0" applyFont="1" applyFill="1" applyBorder="1" applyAlignment="1">
      <alignment horizontal="right" vertical="center"/>
    </xf>
    <xf numFmtId="0" fontId="35" fillId="9" borderId="38" xfId="0" applyFont="1" applyFill="1" applyBorder="1" applyAlignment="1">
      <alignment horizontal="left" vertical="center"/>
    </xf>
    <xf numFmtId="0" fontId="1" fillId="10" borderId="0" xfId="0" applyFont="1" applyFill="1"/>
    <xf numFmtId="0" fontId="0" fillId="10" borderId="38" xfId="0" applyFill="1" applyBorder="1"/>
    <xf numFmtId="0" fontId="10" fillId="0" borderId="3" xfId="1" applyFont="1" applyBorder="1" applyAlignment="1">
      <alignment horizontal="center" vertical="center"/>
    </xf>
    <xf numFmtId="0" fontId="0" fillId="0" borderId="38" xfId="0" applyBorder="1"/>
    <xf numFmtId="0" fontId="36" fillId="9" borderId="38" xfId="0" applyFont="1" applyFill="1" applyBorder="1" applyAlignment="1">
      <alignment horizontal="right" vertical="center"/>
    </xf>
    <xf numFmtId="0" fontId="36" fillId="9" borderId="38" xfId="0" applyFont="1" applyFill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8" borderId="3" xfId="0" applyFill="1" applyBorder="1"/>
    <xf numFmtId="0" fontId="0" fillId="11" borderId="3" xfId="0" applyFill="1" applyBorder="1"/>
    <xf numFmtId="0" fontId="0" fillId="10" borderId="3" xfId="0" applyFill="1" applyBorder="1"/>
  </cellXfs>
  <cellStyles count="5">
    <cellStyle name="Normal" xfId="0" builtinId="0"/>
    <cellStyle name="Normal 2 2" xfId="1" xr:uid="{39DF54F7-F1DA-46D0-9BE4-B10284ADA5AE}"/>
    <cellStyle name="Normal 2 2 2" xfId="2" xr:uid="{AC3B6417-5BD8-4AFC-A91F-848F620ECB2E}"/>
    <cellStyle name="Porcentagem 2" xfId="3" xr:uid="{B040F133-62CF-47BE-8B7B-6A68A150CD8C}"/>
    <cellStyle name="Vírgula 2" xfId="4" xr:uid="{F7D8D057-BDCA-434B-B9D0-551DD354C1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43D9315-13B7-42E8-853E-4692D3D0B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FEABE35-AF1C-460D-99D8-4BF5FB99C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60C15BC4-55D1-4C46-861F-18D218B64032}"/>
            </a:ext>
          </a:extLst>
        </xdr:cNvPr>
        <xdr:cNvSpPr/>
      </xdr:nvSpPr>
      <xdr:spPr bwMode="auto">
        <a:xfrm>
          <a:off x="2456087" y="1156606"/>
          <a:ext cx="267032" cy="2783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7358DE7-C38F-4576-BF10-8DCC2F18A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BCD7832-2084-4157-879C-7C37C5C5E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2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B0F503CD-0D56-4663-8A9C-820FE434A2C8}"/>
            </a:ext>
          </a:extLst>
        </xdr:cNvPr>
        <xdr:cNvSpPr/>
      </xdr:nvSpPr>
      <xdr:spPr bwMode="auto">
        <a:xfrm>
          <a:off x="2456087" y="1156606"/>
          <a:ext cx="267032" cy="2783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oneCellAnchor>
    <xdr:from>
      <xdr:col>2</xdr:col>
      <xdr:colOff>775608</xdr:colOff>
      <xdr:row>2</xdr:row>
      <xdr:rowOff>95250</xdr:rowOff>
    </xdr:from>
    <xdr:ext cx="1183822" cy="1523982"/>
    <xdr:pic>
      <xdr:nvPicPr>
        <xdr:cNvPr id="4" name="Imagem 3">
          <a:extLst>
            <a:ext uri="{FF2B5EF4-FFF2-40B4-BE49-F238E27FC236}">
              <a16:creationId xmlns:a16="http://schemas.microsoft.com/office/drawing/2014/main" id="{15955058-1507-44C4-A725-059AF99F4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7108" y="476250"/>
          <a:ext cx="1183822" cy="1523982"/>
        </a:xfrm>
        <a:prstGeom prst="rect">
          <a:avLst/>
        </a:prstGeom>
      </xdr:spPr>
    </xdr:pic>
    <xdr:clientData/>
  </xdr:oneCellAnchor>
  <xdr:oneCellAnchor>
    <xdr:from>
      <xdr:col>2</xdr:col>
      <xdr:colOff>95250</xdr:colOff>
      <xdr:row>24</xdr:row>
      <xdr:rowOff>40822</xdr:rowOff>
    </xdr:from>
    <xdr:ext cx="5602844" cy="2358455"/>
    <xdr:pic>
      <xdr:nvPicPr>
        <xdr:cNvPr id="5" name="Imagem 4">
          <a:extLst>
            <a:ext uri="{FF2B5EF4-FFF2-40B4-BE49-F238E27FC236}">
              <a16:creationId xmlns:a16="http://schemas.microsoft.com/office/drawing/2014/main" id="{D1C6077A-E5CD-44EE-BD0A-0447A4A09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" y="4612822"/>
          <a:ext cx="5602844" cy="2358455"/>
        </a:xfrm>
        <a:prstGeom prst="rect">
          <a:avLst/>
        </a:prstGeom>
      </xdr:spPr>
    </xdr:pic>
    <xdr:clientData/>
  </xdr:oneCellAnchor>
  <xdr:oneCellAnchor>
    <xdr:from>
      <xdr:col>2</xdr:col>
      <xdr:colOff>544285</xdr:colOff>
      <xdr:row>27</xdr:row>
      <xdr:rowOff>54429</xdr:rowOff>
    </xdr:from>
    <xdr:ext cx="2400394" cy="1471231"/>
    <xdr:pic>
      <xdr:nvPicPr>
        <xdr:cNvPr id="6" name="Imagem 5">
          <a:extLst>
            <a:ext uri="{FF2B5EF4-FFF2-40B4-BE49-F238E27FC236}">
              <a16:creationId xmlns:a16="http://schemas.microsoft.com/office/drawing/2014/main" id="{A897DF70-B468-4C05-BF34-AE641018A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4385" y="5197929"/>
          <a:ext cx="2400394" cy="147123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AB40A08-037E-4C31-B2BA-A787BF616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ED65B3B-CC5F-42AD-A11D-230A9B9EB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E8087068-6915-4895-9E42-19D937D9C778}"/>
            </a:ext>
          </a:extLst>
        </xdr:cNvPr>
        <xdr:cNvSpPr/>
      </xdr:nvSpPr>
      <xdr:spPr bwMode="auto">
        <a:xfrm>
          <a:off x="2456087" y="1156606"/>
          <a:ext cx="267032" cy="2783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669084E-0FA4-4782-A565-29E2E96F3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66CB98E-4C80-4A31-94FA-258583D5B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2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EE7F9C2C-0DF3-4B6F-9B4C-F15C8686C9FB}"/>
            </a:ext>
          </a:extLst>
        </xdr:cNvPr>
        <xdr:cNvSpPr/>
      </xdr:nvSpPr>
      <xdr:spPr bwMode="auto">
        <a:xfrm>
          <a:off x="2456087" y="1156606"/>
          <a:ext cx="267032" cy="2783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oneCellAnchor>
    <xdr:from>
      <xdr:col>2</xdr:col>
      <xdr:colOff>639536</xdr:colOff>
      <xdr:row>2</xdr:row>
      <xdr:rowOff>95250</xdr:rowOff>
    </xdr:from>
    <xdr:ext cx="1302705" cy="1471973"/>
    <xdr:pic>
      <xdr:nvPicPr>
        <xdr:cNvPr id="4" name="Imagem 3">
          <a:extLst>
            <a:ext uri="{FF2B5EF4-FFF2-40B4-BE49-F238E27FC236}">
              <a16:creationId xmlns:a16="http://schemas.microsoft.com/office/drawing/2014/main" id="{E33E674F-92A1-48E7-9A62-37E599B5C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386" y="476250"/>
          <a:ext cx="1302705" cy="1471973"/>
        </a:xfrm>
        <a:prstGeom prst="rect">
          <a:avLst/>
        </a:prstGeom>
      </xdr:spPr>
    </xdr:pic>
    <xdr:clientData/>
  </xdr:oneCellAnchor>
  <xdr:oneCellAnchor>
    <xdr:from>
      <xdr:col>2</xdr:col>
      <xdr:colOff>122465</xdr:colOff>
      <xdr:row>24</xdr:row>
      <xdr:rowOff>40822</xdr:rowOff>
    </xdr:from>
    <xdr:ext cx="5611809" cy="2316433"/>
    <xdr:pic>
      <xdr:nvPicPr>
        <xdr:cNvPr id="5" name="Imagem 4">
          <a:extLst>
            <a:ext uri="{FF2B5EF4-FFF2-40B4-BE49-F238E27FC236}">
              <a16:creationId xmlns:a16="http://schemas.microsoft.com/office/drawing/2014/main" id="{44FD0706-2328-422B-BF0D-AA0B0CA88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7815" y="4612822"/>
          <a:ext cx="5611809" cy="2316433"/>
        </a:xfrm>
        <a:prstGeom prst="rect">
          <a:avLst/>
        </a:prstGeom>
      </xdr:spPr>
    </xdr:pic>
    <xdr:clientData/>
  </xdr:oneCellAnchor>
  <xdr:oneCellAnchor>
    <xdr:from>
      <xdr:col>2</xdr:col>
      <xdr:colOff>598714</xdr:colOff>
      <xdr:row>27</xdr:row>
      <xdr:rowOff>147825</xdr:rowOff>
    </xdr:from>
    <xdr:ext cx="2445282" cy="1293369"/>
    <xdr:pic>
      <xdr:nvPicPr>
        <xdr:cNvPr id="6" name="Imagem 5">
          <a:extLst>
            <a:ext uri="{FF2B5EF4-FFF2-40B4-BE49-F238E27FC236}">
              <a16:creationId xmlns:a16="http://schemas.microsoft.com/office/drawing/2014/main" id="{EE64A543-29B3-4E17-81CC-D412EF7D8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664" y="5291325"/>
          <a:ext cx="2445282" cy="1293369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l0559\Desktop\Projetos\node\auto-tonalidades\resources\templates\arquivos_apoio\guias_lingueta_cabedal_39510.xlsm" TargetMode="External"/><Relationship Id="rId1" Type="http://schemas.openxmlformats.org/officeDocument/2006/relationships/externalLinkPath" Target="guias_lingueta_cabedal_3951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Instrucao%20de%20Processo\20530\20530%20Sobral%20Fab%2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EJAMENTO_F1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o_F15_CORTE_COSTURA_Abril_200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ENGENHARIA\ENGENHARIA_DE_PROCESSOS\01.%20PROCESSOS%20DE%20ENGENHARIA\02.%20APROVEITAMENTO%20DE%20MATERIAIS\1.%20SISTEMA%20DE%20CORTE\2.%20C&#193;LCULOS%20GERADOS\22350%20-%20ENFEITE%2001%20BATMAN.xlsm" TargetMode="External"/></Relationships>
</file>

<file path=xl/externalLinks/_rels/externalLink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../manoe/Documents/Projetos/node/auto-tonalidades/39510A%20-%20MELISSA%20X%20BEND%20AD%20(Escala).xlsb" TargetMode="External"/><Relationship Id="rId2" Type="http://schemas.openxmlformats.org/officeDocument/2006/relationships/externalLinkPath" Target="file:///C:\Users\manoe\Documents\Projetos\node\auto-tonalidades\39510A%20-%20MELISSA%20X%20BEND%20AD%20(Escala).xlsb" TargetMode="External"/><Relationship Id="rId1" Type="http://schemas.openxmlformats.org/officeDocument/2006/relationships/externalLinkPath" Target="/Users/manoe/Documents/Projetos/node/auto-tonalidades/39510A%20-%20MELISSA%20X%20BEND%20AD%20(Escala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BEDAL "/>
      <sheetName val="LINGUETA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b F5"/>
      <sheetName val="modelo"/>
      <sheetName val="unid 5"/>
      <sheetName val="CEPO"/>
      <sheetName val="Preparação"/>
      <sheetName val="Costura (anterior)"/>
      <sheetName val="costura (Atual)"/>
      <sheetName val="Ficha_Técnica"/>
      <sheetName val="layout "/>
      <sheetName val="Check list"/>
      <sheetName val="Try out"/>
      <sheetName val="GBO PRE"/>
      <sheetName val="Legenda (2)"/>
      <sheetName val="Legenda"/>
      <sheetName val="GBO PRE (2)"/>
      <sheetName val="COSTURA"/>
      <sheetName val="COSTURA (SIMULADO)"/>
      <sheetName val="GBO"/>
      <sheetName val="GBO (2)"/>
      <sheetName val="Ficha_Técnica(cél 01)"/>
      <sheetName val="Unid 05 (Cel. 01)"/>
      <sheetName val="LAY OUT (ATUAL)"/>
      <sheetName val="LAY OUT cél1(ant.)"/>
      <sheetName val="costura (2)"/>
      <sheetName val="Sob_F51"/>
      <sheetName val="unid_51"/>
      <sheetName val="Costura_(anterior)1"/>
      <sheetName val="costura_(Atual)1"/>
      <sheetName val="layout_1"/>
      <sheetName val="Check_list1"/>
      <sheetName val="Try_out1"/>
      <sheetName val="GBO_PRE1"/>
      <sheetName val="Legenda_(2)1"/>
      <sheetName val="GBO_PRE_(2)1"/>
      <sheetName val="COSTURA_(SIMULADO)1"/>
      <sheetName val="GBO_(2)1"/>
      <sheetName val="Ficha_Técnica(cél_01)1"/>
      <sheetName val="Unid_05_(Cel__01)1"/>
      <sheetName val="LAY_OUT_(ATUAL)1"/>
      <sheetName val="LAY_OUT_cél1(ant_)1"/>
      <sheetName val="costura_(2)1"/>
      <sheetName val="Sob_F5"/>
      <sheetName val="unid_5"/>
      <sheetName val="Costura_(anterior)"/>
      <sheetName val="costura_(Atual)"/>
      <sheetName val="layout_"/>
      <sheetName val="Check_list"/>
      <sheetName val="Try_out"/>
      <sheetName val="GBO_PRE"/>
      <sheetName val="Legenda_(2)"/>
      <sheetName val="GBO_PRE_(2)"/>
      <sheetName val="COSTURA_(SIMULADO)"/>
      <sheetName val="GBO_(2)"/>
      <sheetName val="Ficha_Técnica(cél_01)"/>
      <sheetName val="Unid_05_(Cel__01)"/>
      <sheetName val="LAY_OUT_(ATUAL)"/>
      <sheetName val="LAY_OUT_cél1(ant_)"/>
      <sheetName val="costura_(2)"/>
      <sheetName val="Distribuição_MAIO__2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AS"/>
      <sheetName val="MPS"/>
      <sheetName val="PLANO"/>
    </sheetNames>
    <sheetDataSet>
      <sheetData sheetId="0"/>
      <sheetData sheetId="1">
        <row r="2">
          <cell r="L2" t="str">
            <v>EST.</v>
          </cell>
          <cell r="Z2" t="str">
            <v>EST.</v>
          </cell>
        </row>
        <row r="3">
          <cell r="K3" t="str">
            <v>COST</v>
          </cell>
          <cell r="L3" t="str">
            <v>PROJ.</v>
          </cell>
          <cell r="M3" t="str">
            <v xml:space="preserve">MONT </v>
          </cell>
          <cell r="S3" t="str">
            <v xml:space="preserve">MONT </v>
          </cell>
          <cell r="T3" t="str">
            <v>COTA</v>
          </cell>
          <cell r="Y3" t="str">
            <v>COTA</v>
          </cell>
          <cell r="Z3" t="str">
            <v>PROJ.</v>
          </cell>
        </row>
        <row r="4">
          <cell r="L4" t="str">
            <v>CAB.</v>
          </cell>
          <cell r="Z4" t="str">
            <v>ACAB.</v>
          </cell>
        </row>
        <row r="5">
          <cell r="K5" t="str">
            <v>COSTURA</v>
          </cell>
          <cell r="L5" t="str">
            <v>EST. PROJ. CAB.</v>
          </cell>
          <cell r="M5" t="str">
            <v>MONTAGEM</v>
          </cell>
          <cell r="S5" t="str">
            <v>MONTAGEM</v>
          </cell>
          <cell r="T5" t="str">
            <v>COTA</v>
          </cell>
          <cell r="Y5" t="str">
            <v>FORECAST</v>
          </cell>
          <cell r="Z5" t="str">
            <v>EST.  PROJ.</v>
          </cell>
        </row>
        <row r="6">
          <cell r="L6">
            <v>-4608</v>
          </cell>
          <cell r="M6">
            <v>4608</v>
          </cell>
          <cell r="T6">
            <v>0</v>
          </cell>
          <cell r="Y6">
            <v>0</v>
          </cell>
        </row>
        <row r="7">
          <cell r="L7">
            <v>-2688</v>
          </cell>
          <cell r="M7">
            <v>2688</v>
          </cell>
          <cell r="T7">
            <v>0</v>
          </cell>
          <cell r="Y7">
            <v>0</v>
          </cell>
        </row>
        <row r="8">
          <cell r="L8">
            <v>-4032</v>
          </cell>
          <cell r="M8">
            <v>4032</v>
          </cell>
          <cell r="T8">
            <v>0</v>
          </cell>
          <cell r="Y8">
            <v>0</v>
          </cell>
        </row>
        <row r="9">
          <cell r="L9">
            <v>-4032</v>
          </cell>
          <cell r="M9">
            <v>4032</v>
          </cell>
          <cell r="T9">
            <v>0</v>
          </cell>
          <cell r="Y9">
            <v>0</v>
          </cell>
        </row>
        <row r="10">
          <cell r="L10">
            <v>-768</v>
          </cell>
          <cell r="M10">
            <v>768</v>
          </cell>
          <cell r="T10">
            <v>0</v>
          </cell>
          <cell r="Y10">
            <v>0</v>
          </cell>
        </row>
        <row r="11">
          <cell r="L11">
            <v>-3072</v>
          </cell>
          <cell r="M11">
            <v>3072</v>
          </cell>
          <cell r="T11">
            <v>0</v>
          </cell>
          <cell r="Y11">
            <v>0</v>
          </cell>
        </row>
        <row r="12">
          <cell r="K12">
            <v>0</v>
          </cell>
          <cell r="L12">
            <v>-19200</v>
          </cell>
          <cell r="M12">
            <v>19200</v>
          </cell>
          <cell r="S12">
            <v>0</v>
          </cell>
          <cell r="T12">
            <v>0</v>
          </cell>
          <cell r="Y12">
            <v>0</v>
          </cell>
          <cell r="Z12">
            <v>0</v>
          </cell>
        </row>
        <row r="13">
          <cell r="L13">
            <v>-3200</v>
          </cell>
          <cell r="M13">
            <v>3200</v>
          </cell>
          <cell r="S13">
            <v>5800</v>
          </cell>
          <cell r="T13">
            <v>4500</v>
          </cell>
          <cell r="Y13">
            <v>6500</v>
          </cell>
          <cell r="Z13">
            <v>2000</v>
          </cell>
        </row>
        <row r="14">
          <cell r="L14">
            <v>-2200</v>
          </cell>
          <cell r="M14">
            <v>2200</v>
          </cell>
          <cell r="S14">
            <v>3300</v>
          </cell>
          <cell r="T14">
            <v>2700</v>
          </cell>
          <cell r="Y14">
            <v>3900</v>
          </cell>
          <cell r="Z14">
            <v>1600</v>
          </cell>
        </row>
        <row r="15">
          <cell r="L15">
            <v>-2700</v>
          </cell>
          <cell r="M15">
            <v>2700</v>
          </cell>
          <cell r="S15">
            <v>4500</v>
          </cell>
          <cell r="T15">
            <v>3600</v>
          </cell>
          <cell r="Y15">
            <v>5200</v>
          </cell>
          <cell r="Z15">
            <v>1700</v>
          </cell>
        </row>
        <row r="16">
          <cell r="L16">
            <v>-2700</v>
          </cell>
          <cell r="M16">
            <v>2700</v>
          </cell>
          <cell r="S16">
            <v>4600</v>
          </cell>
          <cell r="T16">
            <v>3600</v>
          </cell>
          <cell r="Y16">
            <v>5200</v>
          </cell>
          <cell r="Z16">
            <v>1900</v>
          </cell>
        </row>
        <row r="17">
          <cell r="L17">
            <v>-2900</v>
          </cell>
          <cell r="M17">
            <v>2900</v>
          </cell>
          <cell r="S17">
            <v>4300</v>
          </cell>
          <cell r="T17">
            <v>3600</v>
          </cell>
          <cell r="Y17">
            <v>5200</v>
          </cell>
          <cell r="Z17">
            <v>1800</v>
          </cell>
        </row>
        <row r="18">
          <cell r="K18">
            <v>0</v>
          </cell>
          <cell r="L18">
            <v>-13700</v>
          </cell>
          <cell r="M18">
            <v>13700</v>
          </cell>
          <cell r="S18">
            <v>22500</v>
          </cell>
          <cell r="T18">
            <v>18000</v>
          </cell>
          <cell r="Y18">
            <v>26000</v>
          </cell>
          <cell r="Z18">
            <v>9000</v>
          </cell>
        </row>
        <row r="19">
          <cell r="L19">
            <v>0</v>
          </cell>
          <cell r="S19">
            <v>750</v>
          </cell>
          <cell r="T19">
            <v>450</v>
          </cell>
          <cell r="Y19">
            <v>360</v>
          </cell>
          <cell r="Z19">
            <v>400</v>
          </cell>
        </row>
        <row r="20">
          <cell r="L20">
            <v>0</v>
          </cell>
          <cell r="S20">
            <v>750</v>
          </cell>
          <cell r="T20">
            <v>450</v>
          </cell>
          <cell r="Y20">
            <v>360</v>
          </cell>
          <cell r="Z20">
            <v>400</v>
          </cell>
        </row>
        <row r="21">
          <cell r="L21">
            <v>0</v>
          </cell>
          <cell r="S21">
            <v>1000</v>
          </cell>
          <cell r="T21">
            <v>600</v>
          </cell>
          <cell r="Y21">
            <v>480</v>
          </cell>
          <cell r="Z21">
            <v>500</v>
          </cell>
        </row>
        <row r="22">
          <cell r="K22">
            <v>0</v>
          </cell>
          <cell r="L22">
            <v>0</v>
          </cell>
          <cell r="M22">
            <v>0</v>
          </cell>
          <cell r="S22">
            <v>2500</v>
          </cell>
          <cell r="T22">
            <v>1500</v>
          </cell>
          <cell r="Y22">
            <v>1200</v>
          </cell>
          <cell r="Z22">
            <v>1300</v>
          </cell>
        </row>
        <row r="23">
          <cell r="L23">
            <v>0</v>
          </cell>
          <cell r="T23">
            <v>0</v>
          </cell>
          <cell r="Y23">
            <v>0</v>
          </cell>
        </row>
        <row r="24">
          <cell r="L24">
            <v>0</v>
          </cell>
          <cell r="T24">
            <v>0</v>
          </cell>
          <cell r="Y24">
            <v>0</v>
          </cell>
        </row>
        <row r="25">
          <cell r="L25">
            <v>0</v>
          </cell>
          <cell r="T25">
            <v>0</v>
          </cell>
          <cell r="Y25">
            <v>0</v>
          </cell>
        </row>
        <row r="26">
          <cell r="K26">
            <v>0</v>
          </cell>
          <cell r="L26">
            <v>0</v>
          </cell>
          <cell r="M26">
            <v>0</v>
          </cell>
          <cell r="S26">
            <v>0</v>
          </cell>
          <cell r="T26">
            <v>0</v>
          </cell>
          <cell r="Y26">
            <v>0</v>
          </cell>
          <cell r="Z26">
            <v>0</v>
          </cell>
        </row>
        <row r="27">
          <cell r="L27">
            <v>0</v>
          </cell>
          <cell r="S27">
            <v>2200</v>
          </cell>
          <cell r="T27">
            <v>1600</v>
          </cell>
          <cell r="Y27">
            <v>3600</v>
          </cell>
          <cell r="Z27">
            <v>800</v>
          </cell>
        </row>
        <row r="28">
          <cell r="L28">
            <v>0</v>
          </cell>
          <cell r="S28">
            <v>4350</v>
          </cell>
          <cell r="T28">
            <v>3600</v>
          </cell>
          <cell r="Y28">
            <v>8400</v>
          </cell>
          <cell r="Z28">
            <v>1050</v>
          </cell>
        </row>
        <row r="29">
          <cell r="L29">
            <v>0</v>
          </cell>
          <cell r="S29">
            <v>3450</v>
          </cell>
          <cell r="T29">
            <v>2800</v>
          </cell>
          <cell r="Y29">
            <v>0</v>
          </cell>
          <cell r="Z29">
            <v>650</v>
          </cell>
        </row>
        <row r="30">
          <cell r="K30">
            <v>0</v>
          </cell>
          <cell r="L30">
            <v>0</v>
          </cell>
          <cell r="M30">
            <v>0</v>
          </cell>
          <cell r="S30">
            <v>10000</v>
          </cell>
          <cell r="T30">
            <v>8000</v>
          </cell>
          <cell r="Y30">
            <v>12000</v>
          </cell>
          <cell r="Z30">
            <v>2500</v>
          </cell>
        </row>
        <row r="31">
          <cell r="L31">
            <v>-576</v>
          </cell>
          <cell r="M31">
            <v>576</v>
          </cell>
          <cell r="T31">
            <v>1200</v>
          </cell>
          <cell r="Y31">
            <v>500</v>
          </cell>
          <cell r="Z31">
            <v>476</v>
          </cell>
        </row>
        <row r="32">
          <cell r="K32">
            <v>0</v>
          </cell>
          <cell r="L32">
            <v>-576</v>
          </cell>
          <cell r="M32">
            <v>576</v>
          </cell>
          <cell r="S32">
            <v>0</v>
          </cell>
          <cell r="T32">
            <v>1200</v>
          </cell>
          <cell r="Y32">
            <v>500</v>
          </cell>
          <cell r="Z32">
            <v>476</v>
          </cell>
        </row>
        <row r="33">
          <cell r="L33">
            <v>-268</v>
          </cell>
          <cell r="M33">
            <v>268</v>
          </cell>
          <cell r="S33">
            <v>700</v>
          </cell>
          <cell r="T33">
            <v>800</v>
          </cell>
          <cell r="Y33">
            <v>600</v>
          </cell>
          <cell r="Z33">
            <v>700</v>
          </cell>
        </row>
        <row r="34">
          <cell r="L34">
            <v>-1732</v>
          </cell>
          <cell r="M34">
            <v>1732</v>
          </cell>
          <cell r="S34">
            <v>1100</v>
          </cell>
          <cell r="T34">
            <v>1200</v>
          </cell>
          <cell r="Y34">
            <v>900</v>
          </cell>
          <cell r="Z34">
            <v>980</v>
          </cell>
        </row>
        <row r="35">
          <cell r="K35">
            <v>0</v>
          </cell>
          <cell r="L35">
            <v>-2000</v>
          </cell>
          <cell r="M35">
            <v>2000</v>
          </cell>
          <cell r="S35">
            <v>1800</v>
          </cell>
          <cell r="T35">
            <v>2000</v>
          </cell>
          <cell r="Y35">
            <v>1500</v>
          </cell>
          <cell r="Z35">
            <v>1680</v>
          </cell>
        </row>
        <row r="36">
          <cell r="L36">
            <v>-480</v>
          </cell>
          <cell r="M36">
            <v>480</v>
          </cell>
          <cell r="S36">
            <v>768</v>
          </cell>
          <cell r="T36">
            <v>700</v>
          </cell>
          <cell r="Y36">
            <v>525</v>
          </cell>
          <cell r="Z36">
            <v>1107</v>
          </cell>
        </row>
        <row r="37">
          <cell r="L37">
            <v>-2020</v>
          </cell>
          <cell r="M37">
            <v>2020</v>
          </cell>
          <cell r="S37">
            <v>1232</v>
          </cell>
          <cell r="T37">
            <v>1300</v>
          </cell>
          <cell r="Y37">
            <v>975</v>
          </cell>
          <cell r="Z37">
            <v>843</v>
          </cell>
        </row>
        <row r="38">
          <cell r="K38">
            <v>0</v>
          </cell>
          <cell r="L38">
            <v>-2500</v>
          </cell>
          <cell r="M38">
            <v>2500</v>
          </cell>
          <cell r="S38">
            <v>2000</v>
          </cell>
          <cell r="T38">
            <v>2000</v>
          </cell>
          <cell r="Y38">
            <v>1500</v>
          </cell>
          <cell r="Z38">
            <v>1950</v>
          </cell>
        </row>
        <row r="39">
          <cell r="L39">
            <v>-864</v>
          </cell>
          <cell r="M39">
            <v>864</v>
          </cell>
          <cell r="S39">
            <v>384</v>
          </cell>
        </row>
        <row r="40">
          <cell r="L40">
            <v>0</v>
          </cell>
        </row>
        <row r="41">
          <cell r="L41">
            <v>-864</v>
          </cell>
          <cell r="M41">
            <v>864</v>
          </cell>
          <cell r="S41">
            <v>384</v>
          </cell>
        </row>
        <row r="42">
          <cell r="K42">
            <v>0</v>
          </cell>
          <cell r="L42">
            <v>-1728</v>
          </cell>
          <cell r="M42">
            <v>1728</v>
          </cell>
          <cell r="S42">
            <v>768</v>
          </cell>
          <cell r="T42">
            <v>0</v>
          </cell>
          <cell r="Y42">
            <v>0</v>
          </cell>
          <cell r="Z42">
            <v>0</v>
          </cell>
        </row>
        <row r="43">
          <cell r="L43">
            <v>0</v>
          </cell>
          <cell r="T43">
            <v>0</v>
          </cell>
          <cell r="Y43">
            <v>0</v>
          </cell>
        </row>
        <row r="44">
          <cell r="L44">
            <v>0</v>
          </cell>
          <cell r="T44">
            <v>0</v>
          </cell>
          <cell r="Y44">
            <v>0</v>
          </cell>
        </row>
        <row r="45">
          <cell r="L45">
            <v>0</v>
          </cell>
          <cell r="T45">
            <v>0</v>
          </cell>
          <cell r="Y45">
            <v>0</v>
          </cell>
        </row>
        <row r="46">
          <cell r="L46">
            <v>0</v>
          </cell>
          <cell r="T46">
            <v>0</v>
          </cell>
          <cell r="Y46">
            <v>0</v>
          </cell>
        </row>
        <row r="47">
          <cell r="L47">
            <v>0</v>
          </cell>
          <cell r="T47">
            <v>0</v>
          </cell>
          <cell r="Y47">
            <v>0</v>
          </cell>
        </row>
        <row r="48">
          <cell r="L48">
            <v>0</v>
          </cell>
          <cell r="T48">
            <v>0</v>
          </cell>
          <cell r="Y48">
            <v>0</v>
          </cell>
        </row>
        <row r="49">
          <cell r="K49">
            <v>0</v>
          </cell>
          <cell r="L49">
            <v>0</v>
          </cell>
          <cell r="M49">
            <v>0</v>
          </cell>
          <cell r="S49">
            <v>0</v>
          </cell>
          <cell r="T49">
            <v>0</v>
          </cell>
          <cell r="Y49">
            <v>0</v>
          </cell>
          <cell r="Z49">
            <v>0</v>
          </cell>
        </row>
        <row r="50">
          <cell r="L50">
            <v>-576</v>
          </cell>
          <cell r="M50">
            <v>576</v>
          </cell>
          <cell r="S50">
            <v>300</v>
          </cell>
          <cell r="T50">
            <v>100</v>
          </cell>
          <cell r="Y50">
            <v>100</v>
          </cell>
          <cell r="Z50">
            <v>468</v>
          </cell>
        </row>
        <row r="51">
          <cell r="L51">
            <v>-1152</v>
          </cell>
          <cell r="M51">
            <v>1152</v>
          </cell>
          <cell r="T51">
            <v>250</v>
          </cell>
          <cell r="Y51">
            <v>250</v>
          </cell>
          <cell r="Z51">
            <v>771</v>
          </cell>
        </row>
        <row r="52">
          <cell r="L52">
            <v>-772</v>
          </cell>
          <cell r="M52">
            <v>772</v>
          </cell>
          <cell r="T52">
            <v>150</v>
          </cell>
          <cell r="Y52">
            <v>150</v>
          </cell>
          <cell r="Z52">
            <v>565</v>
          </cell>
        </row>
        <row r="53">
          <cell r="K53">
            <v>0</v>
          </cell>
          <cell r="L53">
            <v>-2500</v>
          </cell>
          <cell r="M53">
            <v>2500</v>
          </cell>
          <cell r="S53">
            <v>300</v>
          </cell>
          <cell r="T53">
            <v>500</v>
          </cell>
          <cell r="Y53">
            <v>500</v>
          </cell>
          <cell r="Z53">
            <v>1804</v>
          </cell>
        </row>
        <row r="54">
          <cell r="L54">
            <v>0</v>
          </cell>
          <cell r="T54">
            <v>40</v>
          </cell>
          <cell r="Y54">
            <v>40</v>
          </cell>
          <cell r="Z54">
            <v>623</v>
          </cell>
        </row>
        <row r="55">
          <cell r="L55">
            <v>-200</v>
          </cell>
          <cell r="M55">
            <v>200</v>
          </cell>
          <cell r="T55">
            <v>240</v>
          </cell>
          <cell r="Y55">
            <v>240</v>
          </cell>
          <cell r="Z55">
            <v>296</v>
          </cell>
        </row>
        <row r="56">
          <cell r="L56">
            <v>0</v>
          </cell>
          <cell r="T56">
            <v>120</v>
          </cell>
          <cell r="Y56">
            <v>120</v>
          </cell>
          <cell r="Z56">
            <v>217</v>
          </cell>
        </row>
        <row r="57">
          <cell r="K57">
            <v>0</v>
          </cell>
          <cell r="L57">
            <v>-200</v>
          </cell>
          <cell r="M57">
            <v>200</v>
          </cell>
          <cell r="S57">
            <v>0</v>
          </cell>
          <cell r="T57">
            <v>400</v>
          </cell>
          <cell r="Y57">
            <v>400</v>
          </cell>
          <cell r="Z57">
            <v>1136</v>
          </cell>
        </row>
        <row r="58">
          <cell r="L58">
            <v>-52</v>
          </cell>
          <cell r="M58">
            <v>52</v>
          </cell>
          <cell r="S58">
            <v>384</v>
          </cell>
          <cell r="T58">
            <v>320</v>
          </cell>
          <cell r="Y58">
            <v>300</v>
          </cell>
          <cell r="Z58">
            <v>700</v>
          </cell>
        </row>
        <row r="59">
          <cell r="L59">
            <v>-2208</v>
          </cell>
          <cell r="M59">
            <v>2208</v>
          </cell>
          <cell r="S59">
            <v>2518</v>
          </cell>
          <cell r="T59">
            <v>2080</v>
          </cell>
          <cell r="Y59">
            <v>1950</v>
          </cell>
          <cell r="Z59">
            <v>2015</v>
          </cell>
        </row>
        <row r="60">
          <cell r="L60">
            <v>-1440</v>
          </cell>
          <cell r="M60">
            <v>1440</v>
          </cell>
          <cell r="S60">
            <v>1854</v>
          </cell>
          <cell r="T60">
            <v>800</v>
          </cell>
          <cell r="Y60">
            <v>750</v>
          </cell>
          <cell r="Z60">
            <v>1236</v>
          </cell>
        </row>
        <row r="61">
          <cell r="K61">
            <v>0</v>
          </cell>
          <cell r="L61">
            <v>-3700</v>
          </cell>
          <cell r="M61">
            <v>3700</v>
          </cell>
          <cell r="S61">
            <v>4756</v>
          </cell>
          <cell r="T61">
            <v>3200</v>
          </cell>
          <cell r="Y61">
            <v>3000</v>
          </cell>
          <cell r="Z61">
            <v>3951</v>
          </cell>
        </row>
        <row r="62">
          <cell r="L62">
            <v>-1342</v>
          </cell>
          <cell r="M62">
            <v>1342</v>
          </cell>
          <cell r="S62">
            <v>605</v>
          </cell>
          <cell r="T62">
            <v>595</v>
          </cell>
          <cell r="Y62">
            <v>525</v>
          </cell>
          <cell r="Z62">
            <v>605</v>
          </cell>
        </row>
        <row r="63">
          <cell r="L63">
            <v>-1534</v>
          </cell>
          <cell r="M63">
            <v>1534</v>
          </cell>
          <cell r="S63">
            <v>815</v>
          </cell>
          <cell r="T63">
            <v>765</v>
          </cell>
          <cell r="Y63">
            <v>675</v>
          </cell>
          <cell r="Z63">
            <v>680</v>
          </cell>
        </row>
        <row r="64">
          <cell r="L64">
            <v>0</v>
          </cell>
          <cell r="T64">
            <v>0</v>
          </cell>
          <cell r="Y64">
            <v>0</v>
          </cell>
          <cell r="Z64">
            <v>0</v>
          </cell>
        </row>
        <row r="65">
          <cell r="L65">
            <v>-960</v>
          </cell>
          <cell r="M65">
            <v>960</v>
          </cell>
          <cell r="S65">
            <v>280</v>
          </cell>
          <cell r="T65">
            <v>340</v>
          </cell>
          <cell r="Y65">
            <v>300</v>
          </cell>
          <cell r="Z65">
            <v>550</v>
          </cell>
        </row>
        <row r="66">
          <cell r="K66">
            <v>0</v>
          </cell>
          <cell r="L66">
            <v>-3836</v>
          </cell>
          <cell r="M66">
            <v>3836</v>
          </cell>
          <cell r="S66">
            <v>1700</v>
          </cell>
          <cell r="T66">
            <v>1700</v>
          </cell>
          <cell r="Y66">
            <v>1500</v>
          </cell>
          <cell r="Z66">
            <v>1835</v>
          </cell>
        </row>
        <row r="67">
          <cell r="L67">
            <v>-192</v>
          </cell>
          <cell r="M67">
            <v>192</v>
          </cell>
          <cell r="S67">
            <v>600</v>
          </cell>
          <cell r="T67">
            <v>260</v>
          </cell>
          <cell r="Y67">
            <v>260</v>
          </cell>
          <cell r="Z67">
            <v>541</v>
          </cell>
        </row>
        <row r="68">
          <cell r="L68">
            <v>-168</v>
          </cell>
          <cell r="M68">
            <v>168</v>
          </cell>
          <cell r="T68">
            <v>140</v>
          </cell>
          <cell r="Y68">
            <v>140</v>
          </cell>
          <cell r="Z68">
            <v>628</v>
          </cell>
        </row>
        <row r="69">
          <cell r="K69">
            <v>0</v>
          </cell>
          <cell r="L69">
            <v>-360</v>
          </cell>
          <cell r="M69">
            <v>360</v>
          </cell>
          <cell r="S69">
            <v>600</v>
          </cell>
          <cell r="T69">
            <v>400</v>
          </cell>
          <cell r="Y69">
            <v>400</v>
          </cell>
          <cell r="Z69">
            <v>1169</v>
          </cell>
        </row>
        <row r="70">
          <cell r="L70">
            <v>-1056</v>
          </cell>
          <cell r="M70">
            <v>1056</v>
          </cell>
          <cell r="S70">
            <v>2434</v>
          </cell>
          <cell r="T70">
            <v>1500</v>
          </cell>
          <cell r="Y70">
            <v>1650</v>
          </cell>
          <cell r="Z70">
            <v>1200</v>
          </cell>
        </row>
        <row r="71">
          <cell r="L71">
            <v>-512</v>
          </cell>
          <cell r="M71">
            <v>512</v>
          </cell>
          <cell r="S71">
            <v>568</v>
          </cell>
          <cell r="T71">
            <v>1250</v>
          </cell>
          <cell r="Y71">
            <v>1375</v>
          </cell>
          <cell r="Z71">
            <v>999</v>
          </cell>
        </row>
        <row r="72">
          <cell r="L72">
            <v>0</v>
          </cell>
          <cell r="T72">
            <v>250</v>
          </cell>
          <cell r="Y72">
            <v>275</v>
          </cell>
          <cell r="Z72">
            <v>810</v>
          </cell>
        </row>
        <row r="73">
          <cell r="L73">
            <v>-1632</v>
          </cell>
          <cell r="M73">
            <v>1632</v>
          </cell>
          <cell r="S73">
            <v>998</v>
          </cell>
          <cell r="T73">
            <v>2000</v>
          </cell>
          <cell r="Y73">
            <v>2200</v>
          </cell>
          <cell r="Z73">
            <v>1300</v>
          </cell>
        </row>
        <row r="74">
          <cell r="K74">
            <v>0</v>
          </cell>
          <cell r="L74">
            <v>-3200</v>
          </cell>
          <cell r="M74">
            <v>3200</v>
          </cell>
          <cell r="S74">
            <v>4000</v>
          </cell>
          <cell r="T74">
            <v>5000</v>
          </cell>
          <cell r="Y74">
            <v>5500</v>
          </cell>
          <cell r="Z74">
            <v>4309</v>
          </cell>
        </row>
        <row r="75">
          <cell r="L75">
            <v>0</v>
          </cell>
          <cell r="T75">
            <v>300</v>
          </cell>
          <cell r="Y75">
            <v>350</v>
          </cell>
          <cell r="Z75">
            <v>2498</v>
          </cell>
        </row>
        <row r="76">
          <cell r="L76">
            <v>-576</v>
          </cell>
          <cell r="M76">
            <v>576</v>
          </cell>
          <cell r="S76">
            <v>1239</v>
          </cell>
          <cell r="T76">
            <v>900</v>
          </cell>
          <cell r="Y76">
            <v>1050</v>
          </cell>
          <cell r="Z76">
            <v>1150</v>
          </cell>
        </row>
        <row r="77">
          <cell r="L77">
            <v>-2016</v>
          </cell>
          <cell r="M77">
            <v>2016</v>
          </cell>
          <cell r="S77">
            <v>949</v>
          </cell>
          <cell r="T77">
            <v>900</v>
          </cell>
          <cell r="Y77">
            <v>1050</v>
          </cell>
          <cell r="Z77">
            <v>1280</v>
          </cell>
        </row>
        <row r="78">
          <cell r="L78">
            <v>-1408</v>
          </cell>
          <cell r="M78">
            <v>1408</v>
          </cell>
          <cell r="S78">
            <v>812</v>
          </cell>
          <cell r="T78">
            <v>900</v>
          </cell>
          <cell r="Y78">
            <v>1050</v>
          </cell>
          <cell r="Z78">
            <v>1280</v>
          </cell>
        </row>
        <row r="79">
          <cell r="K79">
            <v>0</v>
          </cell>
          <cell r="L79">
            <v>-4000</v>
          </cell>
          <cell r="M79">
            <v>4000</v>
          </cell>
          <cell r="S79">
            <v>3000</v>
          </cell>
          <cell r="T79">
            <v>3000</v>
          </cell>
          <cell r="Y79">
            <v>3500</v>
          </cell>
          <cell r="Z79">
            <v>6208</v>
          </cell>
        </row>
        <row r="80">
          <cell r="L80">
            <v>0</v>
          </cell>
          <cell r="S80">
            <v>1860</v>
          </cell>
          <cell r="T80">
            <v>1250</v>
          </cell>
          <cell r="Y80">
            <v>1375</v>
          </cell>
          <cell r="Z80">
            <v>1244</v>
          </cell>
        </row>
        <row r="81">
          <cell r="L81">
            <v>-2160</v>
          </cell>
          <cell r="M81">
            <v>2160</v>
          </cell>
          <cell r="S81">
            <v>2143</v>
          </cell>
          <cell r="T81">
            <v>2250</v>
          </cell>
          <cell r="Y81">
            <v>2475</v>
          </cell>
          <cell r="Z81">
            <v>1543</v>
          </cell>
        </row>
        <row r="82">
          <cell r="L82">
            <v>-1440</v>
          </cell>
          <cell r="M82">
            <v>1440</v>
          </cell>
          <cell r="S82">
            <v>1209</v>
          </cell>
          <cell r="T82">
            <v>1250</v>
          </cell>
          <cell r="Y82">
            <v>1375</v>
          </cell>
          <cell r="Z82">
            <v>1244</v>
          </cell>
        </row>
        <row r="83">
          <cell r="L83">
            <v>0</v>
          </cell>
          <cell r="T83">
            <v>250</v>
          </cell>
          <cell r="Y83">
            <v>275</v>
          </cell>
          <cell r="Z83">
            <v>1031</v>
          </cell>
        </row>
        <row r="84">
          <cell r="K84">
            <v>0</v>
          </cell>
          <cell r="L84">
            <v>-3600</v>
          </cell>
          <cell r="M84">
            <v>3600</v>
          </cell>
          <cell r="S84">
            <v>5212</v>
          </cell>
          <cell r="T84">
            <v>5000</v>
          </cell>
          <cell r="Y84">
            <v>5500</v>
          </cell>
          <cell r="Z84">
            <v>5062</v>
          </cell>
        </row>
        <row r="85">
          <cell r="K85">
            <v>2112</v>
          </cell>
          <cell r="L85">
            <v>256</v>
          </cell>
          <cell r="M85">
            <v>2000</v>
          </cell>
          <cell r="S85">
            <v>1500</v>
          </cell>
          <cell r="T85">
            <v>1200</v>
          </cell>
          <cell r="Y85">
            <v>1200</v>
          </cell>
        </row>
        <row r="86">
          <cell r="K86">
            <v>2112</v>
          </cell>
          <cell r="L86">
            <v>256</v>
          </cell>
          <cell r="M86">
            <v>2000</v>
          </cell>
          <cell r="S86">
            <v>1500</v>
          </cell>
          <cell r="T86">
            <v>1200</v>
          </cell>
          <cell r="Y86">
            <v>1200</v>
          </cell>
          <cell r="Z86">
            <v>0</v>
          </cell>
        </row>
        <row r="87">
          <cell r="K87">
            <v>816</v>
          </cell>
          <cell r="L87">
            <v>148</v>
          </cell>
          <cell r="M87">
            <v>1100</v>
          </cell>
          <cell r="S87">
            <v>700</v>
          </cell>
          <cell r="T87">
            <v>900</v>
          </cell>
          <cell r="Y87">
            <v>400</v>
          </cell>
        </row>
        <row r="88">
          <cell r="K88">
            <v>768</v>
          </cell>
          <cell r="L88">
            <v>252</v>
          </cell>
          <cell r="M88">
            <v>900</v>
          </cell>
          <cell r="S88">
            <v>250</v>
          </cell>
          <cell r="T88">
            <v>300</v>
          </cell>
          <cell r="Y88">
            <v>300</v>
          </cell>
        </row>
        <row r="89">
          <cell r="K89">
            <v>1584</v>
          </cell>
          <cell r="L89">
            <v>400</v>
          </cell>
          <cell r="M89">
            <v>2000</v>
          </cell>
          <cell r="S89">
            <v>950</v>
          </cell>
          <cell r="T89">
            <v>1200</v>
          </cell>
          <cell r="Y89">
            <v>700</v>
          </cell>
          <cell r="Z89">
            <v>0</v>
          </cell>
        </row>
        <row r="90">
          <cell r="K90">
            <v>816</v>
          </cell>
          <cell r="L90">
            <v>-184</v>
          </cell>
          <cell r="M90">
            <v>1000</v>
          </cell>
          <cell r="S90">
            <v>500</v>
          </cell>
          <cell r="T90">
            <v>500</v>
          </cell>
          <cell r="Y90">
            <v>1050</v>
          </cell>
          <cell r="Z90">
            <v>291</v>
          </cell>
        </row>
        <row r="91">
          <cell r="K91">
            <v>1344</v>
          </cell>
          <cell r="L91">
            <v>1344</v>
          </cell>
          <cell r="T91">
            <v>0</v>
          </cell>
          <cell r="Y91">
            <v>1950</v>
          </cell>
          <cell r="Z91">
            <v>292</v>
          </cell>
        </row>
        <row r="92">
          <cell r="K92">
            <v>2160</v>
          </cell>
          <cell r="L92">
            <v>1160</v>
          </cell>
          <cell r="M92">
            <v>1000</v>
          </cell>
          <cell r="S92">
            <v>500</v>
          </cell>
          <cell r="T92">
            <v>500</v>
          </cell>
          <cell r="Y92">
            <v>3000</v>
          </cell>
          <cell r="Z92">
            <v>583</v>
          </cell>
        </row>
        <row r="93">
          <cell r="K93">
            <v>960</v>
          </cell>
          <cell r="L93">
            <v>310</v>
          </cell>
          <cell r="M93">
            <v>650</v>
          </cell>
          <cell r="S93">
            <v>500</v>
          </cell>
          <cell r="T93">
            <v>500</v>
          </cell>
          <cell r="Y93">
            <v>600</v>
          </cell>
          <cell r="Z93">
            <v>950</v>
          </cell>
        </row>
        <row r="94">
          <cell r="K94">
            <v>1344</v>
          </cell>
          <cell r="L94">
            <v>1392</v>
          </cell>
          <cell r="S94">
            <v>3000</v>
          </cell>
          <cell r="T94">
            <v>1500</v>
          </cell>
          <cell r="Y94">
            <v>2400</v>
          </cell>
          <cell r="Z94">
            <v>132</v>
          </cell>
        </row>
        <row r="95">
          <cell r="K95">
            <v>2304</v>
          </cell>
          <cell r="L95">
            <v>1702</v>
          </cell>
          <cell r="M95">
            <v>650</v>
          </cell>
          <cell r="S95">
            <v>3500</v>
          </cell>
          <cell r="T95">
            <v>2000</v>
          </cell>
          <cell r="Y95">
            <v>3000</v>
          </cell>
          <cell r="Z95">
            <v>1082</v>
          </cell>
        </row>
        <row r="96">
          <cell r="K96">
            <v>336</v>
          </cell>
          <cell r="L96">
            <v>118</v>
          </cell>
          <cell r="M96">
            <v>650</v>
          </cell>
          <cell r="S96">
            <v>300</v>
          </cell>
          <cell r="T96">
            <v>272</v>
          </cell>
          <cell r="Y96">
            <v>240</v>
          </cell>
          <cell r="Z96">
            <v>549</v>
          </cell>
        </row>
        <row r="97">
          <cell r="K97">
            <v>1008</v>
          </cell>
          <cell r="L97">
            <v>1296</v>
          </cell>
          <cell r="S97">
            <v>1974</v>
          </cell>
          <cell r="T97">
            <v>1326</v>
          </cell>
          <cell r="Y97">
            <v>1170</v>
          </cell>
          <cell r="Z97">
            <v>-717</v>
          </cell>
        </row>
        <row r="98">
          <cell r="K98">
            <v>672</v>
          </cell>
          <cell r="L98">
            <v>1248</v>
          </cell>
          <cell r="S98">
            <v>2726</v>
          </cell>
          <cell r="T98">
            <v>1802</v>
          </cell>
          <cell r="Y98">
            <v>1590</v>
          </cell>
          <cell r="Z98">
            <v>176</v>
          </cell>
        </row>
        <row r="99">
          <cell r="K99">
            <v>2016</v>
          </cell>
          <cell r="L99">
            <v>2662</v>
          </cell>
          <cell r="M99">
            <v>650</v>
          </cell>
          <cell r="S99">
            <v>5000</v>
          </cell>
          <cell r="T99">
            <v>3400</v>
          </cell>
          <cell r="Y99">
            <v>3000</v>
          </cell>
          <cell r="Z99">
            <v>8</v>
          </cell>
        </row>
        <row r="100">
          <cell r="L100">
            <v>0</v>
          </cell>
          <cell r="T100">
            <v>0</v>
          </cell>
          <cell r="Y100">
            <v>0</v>
          </cell>
          <cell r="Z100">
            <v>0</v>
          </cell>
        </row>
        <row r="101">
          <cell r="L101">
            <v>0</v>
          </cell>
          <cell r="T101">
            <v>0</v>
          </cell>
          <cell r="Y101">
            <v>0</v>
          </cell>
          <cell r="Z101">
            <v>0</v>
          </cell>
        </row>
        <row r="102">
          <cell r="K102">
            <v>0</v>
          </cell>
          <cell r="L102">
            <v>0</v>
          </cell>
          <cell r="M102">
            <v>0</v>
          </cell>
          <cell r="S102">
            <v>0</v>
          </cell>
          <cell r="T102">
            <v>0</v>
          </cell>
          <cell r="Y102">
            <v>0</v>
          </cell>
          <cell r="Z102">
            <v>0</v>
          </cell>
        </row>
        <row r="103">
          <cell r="K103">
            <v>3024</v>
          </cell>
          <cell r="L103">
            <v>144</v>
          </cell>
          <cell r="M103">
            <v>3024</v>
          </cell>
          <cell r="S103">
            <v>1950</v>
          </cell>
          <cell r="T103">
            <v>1400</v>
          </cell>
          <cell r="Y103">
            <v>1400</v>
          </cell>
        </row>
        <row r="104">
          <cell r="K104">
            <v>1968</v>
          </cell>
          <cell r="L104">
            <v>192</v>
          </cell>
          <cell r="M104">
            <v>1776</v>
          </cell>
          <cell r="S104">
            <v>1050</v>
          </cell>
          <cell r="T104">
            <v>600</v>
          </cell>
          <cell r="Y104">
            <v>600</v>
          </cell>
        </row>
        <row r="105">
          <cell r="K105">
            <v>4992</v>
          </cell>
          <cell r="L105">
            <v>336</v>
          </cell>
          <cell r="M105">
            <v>4800</v>
          </cell>
          <cell r="S105">
            <v>3000</v>
          </cell>
          <cell r="T105">
            <v>2000</v>
          </cell>
          <cell r="Y105">
            <v>2000</v>
          </cell>
          <cell r="Z105">
            <v>0</v>
          </cell>
        </row>
        <row r="106">
          <cell r="K106">
            <v>576</v>
          </cell>
          <cell r="L106">
            <v>0</v>
          </cell>
          <cell r="M106">
            <v>864</v>
          </cell>
          <cell r="T106">
            <v>0</v>
          </cell>
          <cell r="Y106">
            <v>0</v>
          </cell>
        </row>
        <row r="107">
          <cell r="K107">
            <v>576</v>
          </cell>
          <cell r="L107">
            <v>576</v>
          </cell>
          <cell r="S107">
            <v>576</v>
          </cell>
          <cell r="T107">
            <v>0</v>
          </cell>
          <cell r="Y107">
            <v>0</v>
          </cell>
        </row>
        <row r="108">
          <cell r="K108">
            <v>528</v>
          </cell>
          <cell r="L108">
            <v>92</v>
          </cell>
          <cell r="M108">
            <v>436</v>
          </cell>
          <cell r="S108">
            <v>24</v>
          </cell>
          <cell r="T108">
            <v>0</v>
          </cell>
          <cell r="Y108">
            <v>0</v>
          </cell>
        </row>
        <row r="109">
          <cell r="K109">
            <v>1680</v>
          </cell>
          <cell r="L109">
            <v>668</v>
          </cell>
          <cell r="M109">
            <v>1300</v>
          </cell>
          <cell r="S109">
            <v>600</v>
          </cell>
          <cell r="T109">
            <v>0</v>
          </cell>
          <cell r="Y109">
            <v>0</v>
          </cell>
          <cell r="Z109">
            <v>0</v>
          </cell>
        </row>
        <row r="110">
          <cell r="K110">
            <v>960</v>
          </cell>
          <cell r="L110">
            <v>960</v>
          </cell>
          <cell r="S110">
            <v>800</v>
          </cell>
          <cell r="T110">
            <v>600</v>
          </cell>
          <cell r="Y110">
            <v>1800</v>
          </cell>
          <cell r="Z110">
            <v>900</v>
          </cell>
        </row>
        <row r="111">
          <cell r="K111">
            <v>480</v>
          </cell>
          <cell r="L111">
            <v>480</v>
          </cell>
          <cell r="T111">
            <v>0</v>
          </cell>
          <cell r="Y111">
            <v>1800</v>
          </cell>
          <cell r="Z111">
            <v>700</v>
          </cell>
        </row>
        <row r="112">
          <cell r="K112">
            <v>1440</v>
          </cell>
          <cell r="L112">
            <v>1440</v>
          </cell>
          <cell r="M112">
            <v>0</v>
          </cell>
          <cell r="S112">
            <v>800</v>
          </cell>
          <cell r="T112">
            <v>600</v>
          </cell>
          <cell r="Y112">
            <v>3600</v>
          </cell>
          <cell r="Z112">
            <v>1600</v>
          </cell>
        </row>
        <row r="113">
          <cell r="K113">
            <v>2688</v>
          </cell>
          <cell r="L113">
            <v>688</v>
          </cell>
          <cell r="M113">
            <v>2000</v>
          </cell>
          <cell r="S113">
            <v>1000</v>
          </cell>
          <cell r="T113">
            <v>900</v>
          </cell>
          <cell r="Y113">
            <v>1200</v>
          </cell>
          <cell r="Z113">
            <v>990</v>
          </cell>
        </row>
        <row r="114">
          <cell r="K114">
            <v>3264</v>
          </cell>
          <cell r="L114">
            <v>264</v>
          </cell>
          <cell r="M114">
            <v>3000</v>
          </cell>
          <cell r="S114">
            <v>1500</v>
          </cell>
          <cell r="T114">
            <v>1200</v>
          </cell>
          <cell r="Y114">
            <v>1600</v>
          </cell>
          <cell r="Z114">
            <v>1720</v>
          </cell>
        </row>
        <row r="115">
          <cell r="L115">
            <v>0</v>
          </cell>
          <cell r="S115">
            <v>2500</v>
          </cell>
          <cell r="T115">
            <v>900</v>
          </cell>
          <cell r="Y115">
            <v>1200</v>
          </cell>
          <cell r="Z115">
            <v>1090</v>
          </cell>
        </row>
        <row r="116">
          <cell r="K116">
            <v>5952</v>
          </cell>
          <cell r="L116">
            <v>952</v>
          </cell>
          <cell r="M116">
            <v>5000</v>
          </cell>
          <cell r="S116">
            <v>5000</v>
          </cell>
          <cell r="T116">
            <v>3000</v>
          </cell>
          <cell r="Y116">
            <v>4000</v>
          </cell>
          <cell r="Z116">
            <v>3800</v>
          </cell>
        </row>
        <row r="117">
          <cell r="L117">
            <v>0</v>
          </cell>
          <cell r="S117">
            <v>920</v>
          </cell>
          <cell r="T117">
            <v>800</v>
          </cell>
          <cell r="Y117">
            <v>800</v>
          </cell>
          <cell r="Z117">
            <v>520</v>
          </cell>
        </row>
        <row r="118">
          <cell r="L118">
            <v>0</v>
          </cell>
          <cell r="S118">
            <v>1380</v>
          </cell>
          <cell r="T118">
            <v>1200</v>
          </cell>
          <cell r="Y118">
            <v>1200</v>
          </cell>
          <cell r="Z118">
            <v>780</v>
          </cell>
        </row>
        <row r="119">
          <cell r="K119">
            <v>0</v>
          </cell>
          <cell r="L119">
            <v>0</v>
          </cell>
          <cell r="M119">
            <v>0</v>
          </cell>
          <cell r="S119">
            <v>2300</v>
          </cell>
          <cell r="T119">
            <v>2000</v>
          </cell>
          <cell r="Y119">
            <v>2000</v>
          </cell>
          <cell r="Z119">
            <v>1300</v>
          </cell>
        </row>
        <row r="120">
          <cell r="K120">
            <v>1248</v>
          </cell>
          <cell r="L120">
            <v>0</v>
          </cell>
          <cell r="M120">
            <v>2160</v>
          </cell>
          <cell r="T120">
            <v>0</v>
          </cell>
          <cell r="Y120">
            <v>0</v>
          </cell>
        </row>
        <row r="121">
          <cell r="K121">
            <v>1248</v>
          </cell>
          <cell r="L121">
            <v>0</v>
          </cell>
          <cell r="M121">
            <v>2352</v>
          </cell>
          <cell r="T121">
            <v>0</v>
          </cell>
          <cell r="Y121">
            <v>0</v>
          </cell>
        </row>
        <row r="122">
          <cell r="K122">
            <v>624</v>
          </cell>
          <cell r="L122">
            <v>0</v>
          </cell>
          <cell r="M122">
            <v>912</v>
          </cell>
          <cell r="T122">
            <v>0</v>
          </cell>
          <cell r="Y122">
            <v>0</v>
          </cell>
        </row>
        <row r="123">
          <cell r="K123">
            <v>4656</v>
          </cell>
          <cell r="L123">
            <v>932</v>
          </cell>
          <cell r="M123">
            <v>5500</v>
          </cell>
          <cell r="S123">
            <v>1300</v>
          </cell>
          <cell r="T123">
            <v>4650</v>
          </cell>
          <cell r="Y123">
            <v>6300</v>
          </cell>
          <cell r="Z123">
            <v>2870</v>
          </cell>
        </row>
        <row r="124">
          <cell r="K124">
            <v>9072</v>
          </cell>
          <cell r="L124">
            <v>3134</v>
          </cell>
          <cell r="M124">
            <v>9538</v>
          </cell>
          <cell r="S124">
            <v>1500</v>
          </cell>
          <cell r="T124">
            <v>4650</v>
          </cell>
          <cell r="Y124">
            <v>6300</v>
          </cell>
          <cell r="Z124">
            <v>5311</v>
          </cell>
        </row>
        <row r="125">
          <cell r="L125">
            <v>0</v>
          </cell>
          <cell r="S125">
            <v>8500</v>
          </cell>
          <cell r="T125">
            <v>4650</v>
          </cell>
          <cell r="Y125">
            <v>6300</v>
          </cell>
          <cell r="Z125">
            <v>2050</v>
          </cell>
        </row>
        <row r="126">
          <cell r="L126">
            <v>0</v>
          </cell>
          <cell r="S126">
            <v>8500</v>
          </cell>
          <cell r="T126">
            <v>4650</v>
          </cell>
          <cell r="Y126">
            <v>6300</v>
          </cell>
          <cell r="Z126">
            <v>2050</v>
          </cell>
        </row>
        <row r="127">
          <cell r="K127">
            <v>10176</v>
          </cell>
          <cell r="L127">
            <v>2942</v>
          </cell>
          <cell r="M127">
            <v>9538</v>
          </cell>
          <cell r="S127">
            <v>1200</v>
          </cell>
          <cell r="T127">
            <v>4650</v>
          </cell>
          <cell r="Y127">
            <v>6300</v>
          </cell>
          <cell r="Z127">
            <v>4704</v>
          </cell>
        </row>
        <row r="128">
          <cell r="L128">
            <v>0</v>
          </cell>
          <cell r="S128">
            <v>14000</v>
          </cell>
          <cell r="T128">
            <v>7750</v>
          </cell>
          <cell r="Y128">
            <v>10500</v>
          </cell>
          <cell r="Z128">
            <v>3250</v>
          </cell>
        </row>
        <row r="129">
          <cell r="K129">
            <v>27024</v>
          </cell>
          <cell r="L129">
            <v>7008</v>
          </cell>
          <cell r="M129">
            <v>30000</v>
          </cell>
          <cell r="S129">
            <v>35000</v>
          </cell>
          <cell r="T129">
            <v>31000</v>
          </cell>
          <cell r="Y129">
            <v>42000</v>
          </cell>
          <cell r="Z129">
            <v>20235</v>
          </cell>
        </row>
        <row r="130">
          <cell r="L130">
            <v>-3307</v>
          </cell>
          <cell r="M130">
            <v>3307</v>
          </cell>
          <cell r="S130">
            <v>3600</v>
          </cell>
          <cell r="T130">
            <v>3500</v>
          </cell>
          <cell r="Y130">
            <v>4900</v>
          </cell>
          <cell r="Z130">
            <v>1100</v>
          </cell>
        </row>
        <row r="131">
          <cell r="L131">
            <v>-1844</v>
          </cell>
          <cell r="M131">
            <v>1844</v>
          </cell>
          <cell r="S131">
            <v>3700</v>
          </cell>
          <cell r="T131">
            <v>3500</v>
          </cell>
          <cell r="Y131">
            <v>4900</v>
          </cell>
          <cell r="Z131">
            <v>1225</v>
          </cell>
        </row>
        <row r="132">
          <cell r="L132">
            <v>-234</v>
          </cell>
          <cell r="M132">
            <v>234</v>
          </cell>
          <cell r="S132">
            <v>1300</v>
          </cell>
          <cell r="T132">
            <v>1000</v>
          </cell>
          <cell r="Y132">
            <v>1400</v>
          </cell>
          <cell r="Z132">
            <v>480</v>
          </cell>
        </row>
        <row r="133">
          <cell r="L133">
            <v>-615</v>
          </cell>
          <cell r="M133">
            <v>615</v>
          </cell>
          <cell r="S133">
            <v>2400</v>
          </cell>
          <cell r="T133">
            <v>2000</v>
          </cell>
          <cell r="Y133">
            <v>2800</v>
          </cell>
          <cell r="Z133">
            <v>600</v>
          </cell>
        </row>
        <row r="134">
          <cell r="K134">
            <v>0</v>
          </cell>
          <cell r="L134">
            <v>-6000</v>
          </cell>
          <cell r="M134">
            <v>6000</v>
          </cell>
          <cell r="S134">
            <v>11000</v>
          </cell>
          <cell r="T134">
            <v>10000</v>
          </cell>
          <cell r="Y134">
            <v>14000</v>
          </cell>
          <cell r="Z134">
            <v>3405</v>
          </cell>
        </row>
        <row r="135">
          <cell r="K135">
            <v>2592</v>
          </cell>
          <cell r="L135">
            <v>815</v>
          </cell>
          <cell r="M135">
            <v>3361</v>
          </cell>
          <cell r="S135">
            <v>7000</v>
          </cell>
          <cell r="T135">
            <v>6000</v>
          </cell>
          <cell r="Y135">
            <v>8400</v>
          </cell>
          <cell r="Z135">
            <v>4652</v>
          </cell>
        </row>
        <row r="136">
          <cell r="K136">
            <v>2592</v>
          </cell>
          <cell r="L136">
            <v>1457</v>
          </cell>
          <cell r="M136">
            <v>2575</v>
          </cell>
          <cell r="S136">
            <v>5250</v>
          </cell>
          <cell r="T136">
            <v>4500</v>
          </cell>
          <cell r="Y136">
            <v>6300</v>
          </cell>
          <cell r="Z136">
            <v>4717</v>
          </cell>
        </row>
        <row r="137">
          <cell r="K137">
            <v>11424</v>
          </cell>
          <cell r="L137">
            <v>0</v>
          </cell>
          <cell r="M137">
            <v>11424</v>
          </cell>
          <cell r="S137">
            <v>7000</v>
          </cell>
          <cell r="T137">
            <v>6000</v>
          </cell>
          <cell r="Y137">
            <v>8400</v>
          </cell>
          <cell r="Z137">
            <v>4464</v>
          </cell>
        </row>
        <row r="138">
          <cell r="K138">
            <v>8160</v>
          </cell>
          <cell r="L138">
            <v>0</v>
          </cell>
          <cell r="M138">
            <v>8160</v>
          </cell>
          <cell r="S138">
            <v>5250</v>
          </cell>
          <cell r="T138">
            <v>4500</v>
          </cell>
          <cell r="Y138">
            <v>6300</v>
          </cell>
          <cell r="Z138">
            <v>2910</v>
          </cell>
        </row>
        <row r="139">
          <cell r="K139">
            <v>8832</v>
          </cell>
          <cell r="L139">
            <v>92</v>
          </cell>
          <cell r="M139">
            <v>8740</v>
          </cell>
          <cell r="S139">
            <v>5250</v>
          </cell>
          <cell r="T139">
            <v>4500</v>
          </cell>
          <cell r="Y139">
            <v>6300</v>
          </cell>
          <cell r="Z139">
            <v>3490</v>
          </cell>
        </row>
        <row r="140">
          <cell r="K140">
            <v>2304</v>
          </cell>
          <cell r="L140">
            <v>2868</v>
          </cell>
          <cell r="M140">
            <v>1740</v>
          </cell>
          <cell r="S140">
            <v>5250</v>
          </cell>
          <cell r="T140">
            <v>4500</v>
          </cell>
          <cell r="Y140">
            <v>6300</v>
          </cell>
          <cell r="Z140">
            <v>4068</v>
          </cell>
        </row>
        <row r="141">
          <cell r="K141">
            <v>35904</v>
          </cell>
          <cell r="L141">
            <v>5232</v>
          </cell>
          <cell r="M141">
            <v>36000</v>
          </cell>
          <cell r="S141">
            <v>35000</v>
          </cell>
          <cell r="T141">
            <v>30000</v>
          </cell>
          <cell r="Y141">
            <v>42000</v>
          </cell>
          <cell r="Z141">
            <v>24301</v>
          </cell>
        </row>
        <row r="142">
          <cell r="L142">
            <v>-3000</v>
          </cell>
          <cell r="M142">
            <v>3000</v>
          </cell>
          <cell r="S142">
            <v>1464</v>
          </cell>
          <cell r="T142">
            <v>1500</v>
          </cell>
          <cell r="Y142">
            <v>2000</v>
          </cell>
        </row>
        <row r="143">
          <cell r="K143">
            <v>0</v>
          </cell>
          <cell r="L143">
            <v>-3000</v>
          </cell>
          <cell r="M143">
            <v>3000</v>
          </cell>
          <cell r="S143">
            <v>1464</v>
          </cell>
          <cell r="T143">
            <v>1500</v>
          </cell>
          <cell r="Y143">
            <v>2000</v>
          </cell>
          <cell r="Z143">
            <v>0</v>
          </cell>
        </row>
        <row r="144">
          <cell r="K144">
            <v>1056</v>
          </cell>
          <cell r="L144">
            <v>800</v>
          </cell>
          <cell r="M144">
            <v>1984</v>
          </cell>
          <cell r="T144">
            <v>600</v>
          </cell>
          <cell r="Y144">
            <v>900</v>
          </cell>
          <cell r="Z144">
            <v>1609</v>
          </cell>
        </row>
        <row r="145">
          <cell r="L145">
            <v>0</v>
          </cell>
          <cell r="S145">
            <v>1800</v>
          </cell>
          <cell r="T145">
            <v>800</v>
          </cell>
          <cell r="Y145">
            <v>1200</v>
          </cell>
          <cell r="Z145">
            <v>450</v>
          </cell>
        </row>
        <row r="146">
          <cell r="L146">
            <v>0</v>
          </cell>
          <cell r="M146">
            <v>528</v>
          </cell>
          <cell r="T146">
            <v>0</v>
          </cell>
          <cell r="Y146">
            <v>0</v>
          </cell>
        </row>
        <row r="147">
          <cell r="L147">
            <v>0</v>
          </cell>
          <cell r="S147">
            <v>1200</v>
          </cell>
          <cell r="T147">
            <v>600</v>
          </cell>
          <cell r="Y147">
            <v>900</v>
          </cell>
          <cell r="Z147">
            <v>350</v>
          </cell>
        </row>
        <row r="148">
          <cell r="K148">
            <v>528</v>
          </cell>
          <cell r="L148">
            <v>0</v>
          </cell>
          <cell r="M148">
            <v>1488</v>
          </cell>
          <cell r="T148">
            <v>0</v>
          </cell>
          <cell r="Y148">
            <v>0</v>
          </cell>
        </row>
        <row r="149">
          <cell r="K149">
            <v>1584</v>
          </cell>
          <cell r="L149">
            <v>800</v>
          </cell>
          <cell r="M149">
            <v>4000</v>
          </cell>
          <cell r="S149">
            <v>3000</v>
          </cell>
          <cell r="T149">
            <v>2000</v>
          </cell>
          <cell r="Y149">
            <v>3000</v>
          </cell>
          <cell r="Z149">
            <v>2409</v>
          </cell>
        </row>
        <row r="150">
          <cell r="L150">
            <v>0</v>
          </cell>
          <cell r="T150">
            <v>450</v>
          </cell>
          <cell r="Y150">
            <v>450</v>
          </cell>
          <cell r="Z150">
            <v>907</v>
          </cell>
        </row>
        <row r="151">
          <cell r="L151">
            <v>-1000</v>
          </cell>
          <cell r="M151">
            <v>1000</v>
          </cell>
          <cell r="S151">
            <v>750</v>
          </cell>
          <cell r="T151">
            <v>300</v>
          </cell>
          <cell r="Y151">
            <v>300</v>
          </cell>
          <cell r="Z151">
            <v>950</v>
          </cell>
        </row>
        <row r="152">
          <cell r="L152">
            <v>-2000</v>
          </cell>
          <cell r="M152">
            <v>2000</v>
          </cell>
          <cell r="S152">
            <v>1250</v>
          </cell>
          <cell r="T152">
            <v>750</v>
          </cell>
          <cell r="Y152">
            <v>600</v>
          </cell>
          <cell r="Z152">
            <v>1680</v>
          </cell>
        </row>
        <row r="153">
          <cell r="K153">
            <v>0</v>
          </cell>
          <cell r="L153">
            <v>-3000</v>
          </cell>
          <cell r="M153">
            <v>3000</v>
          </cell>
          <cell r="S153">
            <v>2000</v>
          </cell>
          <cell r="T153">
            <v>1500</v>
          </cell>
          <cell r="Y153">
            <v>1350</v>
          </cell>
          <cell r="Z153">
            <v>3537</v>
          </cell>
        </row>
        <row r="154">
          <cell r="L154">
            <v>-672</v>
          </cell>
          <cell r="M154">
            <v>672</v>
          </cell>
          <cell r="T154">
            <v>0</v>
          </cell>
          <cell r="Y154">
            <v>0</v>
          </cell>
        </row>
        <row r="155">
          <cell r="L155">
            <v>-1824</v>
          </cell>
          <cell r="M155">
            <v>1824</v>
          </cell>
          <cell r="T155">
            <v>0</v>
          </cell>
          <cell r="Y155">
            <v>0</v>
          </cell>
        </row>
        <row r="156">
          <cell r="L156">
            <v>-960</v>
          </cell>
          <cell r="M156">
            <v>960</v>
          </cell>
          <cell r="T156">
            <v>0</v>
          </cell>
          <cell r="Y156">
            <v>0</v>
          </cell>
        </row>
        <row r="157">
          <cell r="L157">
            <v>-720</v>
          </cell>
          <cell r="M157">
            <v>720</v>
          </cell>
          <cell r="T157">
            <v>0</v>
          </cell>
          <cell r="Y157">
            <v>0</v>
          </cell>
        </row>
        <row r="158">
          <cell r="K158">
            <v>0</v>
          </cell>
          <cell r="L158">
            <v>-4176</v>
          </cell>
          <cell r="M158">
            <v>4176</v>
          </cell>
          <cell r="S158">
            <v>0</v>
          </cell>
          <cell r="T158">
            <v>0</v>
          </cell>
          <cell r="Y158">
            <v>0</v>
          </cell>
          <cell r="Z158">
            <v>0</v>
          </cell>
        </row>
        <row r="159">
          <cell r="L159">
            <v>0</v>
          </cell>
          <cell r="T159">
            <v>375</v>
          </cell>
          <cell r="Y159">
            <v>450</v>
          </cell>
          <cell r="Z159">
            <v>986</v>
          </cell>
        </row>
        <row r="160">
          <cell r="L160">
            <v>-1539</v>
          </cell>
          <cell r="M160">
            <v>1539</v>
          </cell>
          <cell r="S160">
            <v>1475</v>
          </cell>
          <cell r="T160">
            <v>1625</v>
          </cell>
          <cell r="Y160">
            <v>1950</v>
          </cell>
          <cell r="Z160">
            <v>700</v>
          </cell>
        </row>
        <row r="161">
          <cell r="L161">
            <v>-961</v>
          </cell>
          <cell r="M161">
            <v>961</v>
          </cell>
          <cell r="S161">
            <v>25</v>
          </cell>
          <cell r="T161">
            <v>500</v>
          </cell>
          <cell r="Y161">
            <v>600</v>
          </cell>
          <cell r="Z161">
            <v>400</v>
          </cell>
        </row>
        <row r="162">
          <cell r="K162">
            <v>0</v>
          </cell>
          <cell r="L162">
            <v>-2500</v>
          </cell>
          <cell r="M162">
            <v>2500</v>
          </cell>
          <cell r="S162">
            <v>1500</v>
          </cell>
          <cell r="T162">
            <v>2500</v>
          </cell>
          <cell r="Y162">
            <v>3000</v>
          </cell>
          <cell r="Z162">
            <v>2086</v>
          </cell>
        </row>
        <row r="163">
          <cell r="L163">
            <v>-1989</v>
          </cell>
          <cell r="M163">
            <v>1989</v>
          </cell>
          <cell r="S163">
            <v>1800</v>
          </cell>
          <cell r="T163">
            <v>1600</v>
          </cell>
          <cell r="Y163">
            <v>2000</v>
          </cell>
          <cell r="Z163">
            <v>850</v>
          </cell>
        </row>
        <row r="164">
          <cell r="L164">
            <v>-3011</v>
          </cell>
          <cell r="M164">
            <v>3011</v>
          </cell>
          <cell r="S164">
            <v>2700</v>
          </cell>
          <cell r="T164">
            <v>2400</v>
          </cell>
          <cell r="Y164">
            <v>3000</v>
          </cell>
          <cell r="Z164">
            <v>1149</v>
          </cell>
        </row>
        <row r="165">
          <cell r="K165">
            <v>0</v>
          </cell>
          <cell r="L165">
            <v>-5000</v>
          </cell>
          <cell r="M165">
            <v>5000</v>
          </cell>
          <cell r="S165">
            <v>4500</v>
          </cell>
          <cell r="T165">
            <v>4000</v>
          </cell>
          <cell r="Y165">
            <v>5000</v>
          </cell>
          <cell r="Z165">
            <v>1999</v>
          </cell>
        </row>
        <row r="166">
          <cell r="K166">
            <v>2112</v>
          </cell>
          <cell r="L166">
            <v>800</v>
          </cell>
          <cell r="M166">
            <v>1600</v>
          </cell>
          <cell r="S166">
            <v>1250</v>
          </cell>
          <cell r="T166">
            <v>800</v>
          </cell>
          <cell r="Y166">
            <v>1200</v>
          </cell>
          <cell r="Z166">
            <v>1775</v>
          </cell>
        </row>
        <row r="167">
          <cell r="K167">
            <v>1536</v>
          </cell>
          <cell r="L167">
            <v>232</v>
          </cell>
          <cell r="M167">
            <v>1400</v>
          </cell>
          <cell r="S167">
            <v>1250</v>
          </cell>
          <cell r="T167">
            <v>800</v>
          </cell>
          <cell r="Y167">
            <v>1200</v>
          </cell>
          <cell r="Z167">
            <v>1273</v>
          </cell>
        </row>
        <row r="168">
          <cell r="L168">
            <v>96</v>
          </cell>
          <cell r="T168">
            <v>200</v>
          </cell>
          <cell r="Y168">
            <v>300</v>
          </cell>
          <cell r="Z168">
            <v>494</v>
          </cell>
        </row>
        <row r="169">
          <cell r="K169">
            <v>3648</v>
          </cell>
          <cell r="L169">
            <v>1128</v>
          </cell>
          <cell r="M169">
            <v>3000</v>
          </cell>
          <cell r="S169">
            <v>2500</v>
          </cell>
          <cell r="T169">
            <v>1800</v>
          </cell>
          <cell r="Y169">
            <v>2700</v>
          </cell>
          <cell r="Z169">
            <v>3542</v>
          </cell>
        </row>
        <row r="170">
          <cell r="L170">
            <v>-500</v>
          </cell>
          <cell r="M170">
            <v>500</v>
          </cell>
          <cell r="T170">
            <v>0</v>
          </cell>
          <cell r="Y170">
            <v>0</v>
          </cell>
        </row>
        <row r="171">
          <cell r="L171">
            <v>-11185</v>
          </cell>
          <cell r="M171">
            <v>11185</v>
          </cell>
          <cell r="S171">
            <v>3600</v>
          </cell>
          <cell r="T171">
            <v>3400</v>
          </cell>
          <cell r="Y171">
            <v>4400</v>
          </cell>
          <cell r="Z171">
            <v>2300</v>
          </cell>
        </row>
        <row r="172">
          <cell r="K172">
            <v>5000</v>
          </cell>
          <cell r="L172">
            <v>2936</v>
          </cell>
          <cell r="M172">
            <v>3600</v>
          </cell>
          <cell r="S172">
            <v>4500</v>
          </cell>
          <cell r="T172">
            <v>4250</v>
          </cell>
          <cell r="Y172">
            <v>5500</v>
          </cell>
          <cell r="Z172">
            <v>2529</v>
          </cell>
        </row>
        <row r="173">
          <cell r="L173">
            <v>-2715</v>
          </cell>
          <cell r="M173">
            <v>2715</v>
          </cell>
          <cell r="S173">
            <v>6400</v>
          </cell>
          <cell r="T173">
            <v>5100</v>
          </cell>
          <cell r="Y173">
            <v>6600</v>
          </cell>
          <cell r="Z173">
            <v>2381</v>
          </cell>
        </row>
        <row r="174">
          <cell r="L174">
            <v>0</v>
          </cell>
          <cell r="S174">
            <v>2500</v>
          </cell>
          <cell r="T174">
            <v>1700</v>
          </cell>
          <cell r="Y174">
            <v>2200</v>
          </cell>
          <cell r="Z174">
            <v>1600</v>
          </cell>
        </row>
        <row r="175">
          <cell r="L175">
            <v>0</v>
          </cell>
          <cell r="S175">
            <v>3000</v>
          </cell>
          <cell r="T175">
            <v>2550</v>
          </cell>
          <cell r="Y175">
            <v>3300</v>
          </cell>
          <cell r="Z175">
            <v>1650</v>
          </cell>
        </row>
        <row r="176">
          <cell r="K176">
            <v>5000</v>
          </cell>
          <cell r="L176">
            <v>-11464</v>
          </cell>
          <cell r="M176">
            <v>18000</v>
          </cell>
          <cell r="S176">
            <v>20000</v>
          </cell>
          <cell r="T176">
            <v>17000</v>
          </cell>
          <cell r="Y176">
            <v>22000</v>
          </cell>
          <cell r="Z176">
            <v>10460</v>
          </cell>
        </row>
        <row r="177">
          <cell r="L177">
            <v>0</v>
          </cell>
          <cell r="T177">
            <v>375</v>
          </cell>
          <cell r="Y177">
            <v>525</v>
          </cell>
          <cell r="Z177">
            <v>480</v>
          </cell>
        </row>
        <row r="178">
          <cell r="L178">
            <v>-661</v>
          </cell>
          <cell r="M178">
            <v>661</v>
          </cell>
          <cell r="S178">
            <v>550</v>
          </cell>
          <cell r="T178">
            <v>1250</v>
          </cell>
          <cell r="Y178">
            <v>1750</v>
          </cell>
          <cell r="Z178">
            <v>770</v>
          </cell>
        </row>
        <row r="179">
          <cell r="L179">
            <v>-1339</v>
          </cell>
          <cell r="M179">
            <v>1339</v>
          </cell>
          <cell r="S179">
            <v>950</v>
          </cell>
          <cell r="T179">
            <v>875</v>
          </cell>
          <cell r="Y179">
            <v>1225</v>
          </cell>
          <cell r="Z179">
            <v>480</v>
          </cell>
        </row>
        <row r="180">
          <cell r="K180">
            <v>0</v>
          </cell>
          <cell r="L180">
            <v>-2000</v>
          </cell>
          <cell r="M180">
            <v>2000</v>
          </cell>
          <cell r="S180">
            <v>1500</v>
          </cell>
          <cell r="T180">
            <v>2500</v>
          </cell>
          <cell r="Y180">
            <v>3500</v>
          </cell>
          <cell r="Z180">
            <v>1730</v>
          </cell>
        </row>
        <row r="181">
          <cell r="L181">
            <v>0</v>
          </cell>
          <cell r="S181">
            <v>1800</v>
          </cell>
          <cell r="T181">
            <v>1200</v>
          </cell>
          <cell r="Y181">
            <v>1600</v>
          </cell>
          <cell r="Z181">
            <v>600</v>
          </cell>
        </row>
        <row r="182">
          <cell r="L182">
            <v>0</v>
          </cell>
          <cell r="S182">
            <v>2700</v>
          </cell>
          <cell r="T182">
            <v>1800</v>
          </cell>
          <cell r="Y182">
            <v>2400</v>
          </cell>
          <cell r="Z182">
            <v>900</v>
          </cell>
        </row>
        <row r="183">
          <cell r="K183">
            <v>0</v>
          </cell>
          <cell r="L183">
            <v>0</v>
          </cell>
          <cell r="M183">
            <v>0</v>
          </cell>
          <cell r="S183">
            <v>4500</v>
          </cell>
          <cell r="T183">
            <v>3000</v>
          </cell>
          <cell r="Y183">
            <v>4000</v>
          </cell>
          <cell r="Z183">
            <v>1500</v>
          </cell>
        </row>
        <row r="184">
          <cell r="L184">
            <v>-446</v>
          </cell>
          <cell r="M184">
            <v>446</v>
          </cell>
          <cell r="S184">
            <v>300</v>
          </cell>
          <cell r="T184">
            <v>750</v>
          </cell>
          <cell r="Y184">
            <v>900</v>
          </cell>
          <cell r="Z184">
            <v>479</v>
          </cell>
        </row>
        <row r="185">
          <cell r="L185">
            <v>-1151</v>
          </cell>
          <cell r="M185">
            <v>1151</v>
          </cell>
          <cell r="S185">
            <v>300</v>
          </cell>
          <cell r="T185">
            <v>750</v>
          </cell>
          <cell r="Y185">
            <v>900</v>
          </cell>
          <cell r="Z185">
            <v>478</v>
          </cell>
        </row>
        <row r="186">
          <cell r="L186">
            <v>-2403</v>
          </cell>
          <cell r="M186">
            <v>2403</v>
          </cell>
          <cell r="S186">
            <v>900</v>
          </cell>
          <cell r="T186">
            <v>1000</v>
          </cell>
          <cell r="Y186">
            <v>1200</v>
          </cell>
          <cell r="Z186">
            <v>752</v>
          </cell>
        </row>
        <row r="187">
          <cell r="K187">
            <v>0</v>
          </cell>
          <cell r="L187">
            <v>-4000</v>
          </cell>
          <cell r="M187">
            <v>4000</v>
          </cell>
          <cell r="S187">
            <v>1500</v>
          </cell>
          <cell r="T187">
            <v>2500</v>
          </cell>
          <cell r="Y187">
            <v>3000</v>
          </cell>
          <cell r="Z187">
            <v>1709</v>
          </cell>
        </row>
        <row r="188">
          <cell r="L188">
            <v>-1250</v>
          </cell>
          <cell r="M188">
            <v>1250</v>
          </cell>
          <cell r="S188">
            <v>1200</v>
          </cell>
          <cell r="T188">
            <v>900</v>
          </cell>
          <cell r="Y188">
            <v>1200</v>
          </cell>
          <cell r="Z188">
            <v>1497</v>
          </cell>
        </row>
        <row r="189">
          <cell r="L189">
            <v>-2250</v>
          </cell>
          <cell r="M189">
            <v>2250</v>
          </cell>
          <cell r="S189">
            <v>3000</v>
          </cell>
          <cell r="T189">
            <v>2250</v>
          </cell>
          <cell r="Y189">
            <v>3000</v>
          </cell>
          <cell r="Z189">
            <v>1466</v>
          </cell>
        </row>
        <row r="190">
          <cell r="L190">
            <v>-1500</v>
          </cell>
          <cell r="M190">
            <v>1500</v>
          </cell>
          <cell r="S190">
            <v>1800</v>
          </cell>
          <cell r="T190">
            <v>1350</v>
          </cell>
          <cell r="Y190">
            <v>1800</v>
          </cell>
          <cell r="Z190">
            <v>2084</v>
          </cell>
        </row>
        <row r="191">
          <cell r="K191">
            <v>0</v>
          </cell>
          <cell r="L191">
            <v>-5000</v>
          </cell>
          <cell r="M191">
            <v>5000</v>
          </cell>
          <cell r="S191">
            <v>6000</v>
          </cell>
          <cell r="T191">
            <v>4500</v>
          </cell>
          <cell r="Y191">
            <v>6000</v>
          </cell>
          <cell r="Z191">
            <v>5047</v>
          </cell>
        </row>
        <row r="192">
          <cell r="L192">
            <v>-1789</v>
          </cell>
          <cell r="M192">
            <v>1789</v>
          </cell>
          <cell r="S192">
            <v>1400</v>
          </cell>
          <cell r="T192">
            <v>1100</v>
          </cell>
          <cell r="Y192">
            <v>1800</v>
          </cell>
          <cell r="Z192">
            <v>600</v>
          </cell>
        </row>
        <row r="193">
          <cell r="L193">
            <v>-3629</v>
          </cell>
          <cell r="M193">
            <v>3629</v>
          </cell>
          <cell r="S193">
            <v>3750</v>
          </cell>
          <cell r="T193">
            <v>3300</v>
          </cell>
          <cell r="Y193">
            <v>5400</v>
          </cell>
          <cell r="Z193">
            <v>1100</v>
          </cell>
        </row>
        <row r="194">
          <cell r="L194">
            <v>-3242</v>
          </cell>
          <cell r="M194">
            <v>3242</v>
          </cell>
          <cell r="S194">
            <v>2500</v>
          </cell>
          <cell r="T194">
            <v>2200</v>
          </cell>
          <cell r="Y194">
            <v>3600</v>
          </cell>
          <cell r="Z194">
            <v>800</v>
          </cell>
        </row>
        <row r="195">
          <cell r="L195">
            <v>-5340</v>
          </cell>
          <cell r="M195">
            <v>5340</v>
          </cell>
          <cell r="S195">
            <v>4850</v>
          </cell>
          <cell r="T195">
            <v>4400</v>
          </cell>
          <cell r="Y195">
            <v>7200</v>
          </cell>
          <cell r="Z195">
            <v>1100</v>
          </cell>
        </row>
        <row r="196">
          <cell r="K196">
            <v>0</v>
          </cell>
          <cell r="L196">
            <v>-14000</v>
          </cell>
          <cell r="M196">
            <v>14000</v>
          </cell>
          <cell r="S196">
            <v>12500</v>
          </cell>
          <cell r="T196">
            <v>11000</v>
          </cell>
          <cell r="Y196">
            <v>18000</v>
          </cell>
          <cell r="Z196">
            <v>3600</v>
          </cell>
        </row>
        <row r="197">
          <cell r="L197">
            <v>-2500</v>
          </cell>
          <cell r="M197">
            <v>2500</v>
          </cell>
          <cell r="S197">
            <v>1250</v>
          </cell>
          <cell r="T197">
            <v>1250</v>
          </cell>
          <cell r="Y197">
            <v>2000</v>
          </cell>
          <cell r="Z197">
            <v>771</v>
          </cell>
        </row>
        <row r="198">
          <cell r="L198">
            <v>-2000</v>
          </cell>
          <cell r="M198">
            <v>2000</v>
          </cell>
          <cell r="S198">
            <v>750</v>
          </cell>
          <cell r="T198">
            <v>750</v>
          </cell>
          <cell r="Y198">
            <v>1200</v>
          </cell>
          <cell r="Z198">
            <v>2766</v>
          </cell>
        </row>
        <row r="199">
          <cell r="L199">
            <v>-4500</v>
          </cell>
          <cell r="M199">
            <v>4500</v>
          </cell>
          <cell r="S199">
            <v>2500</v>
          </cell>
          <cell r="T199">
            <v>2500</v>
          </cell>
          <cell r="Y199">
            <v>4000</v>
          </cell>
          <cell r="Z199">
            <v>1074</v>
          </cell>
        </row>
        <row r="200">
          <cell r="L200">
            <v>-1000</v>
          </cell>
          <cell r="M200">
            <v>1000</v>
          </cell>
          <cell r="S200">
            <v>500</v>
          </cell>
          <cell r="T200">
            <v>500</v>
          </cell>
          <cell r="Y200">
            <v>800</v>
          </cell>
          <cell r="Z200">
            <v>1111</v>
          </cell>
        </row>
        <row r="201">
          <cell r="K201">
            <v>0</v>
          </cell>
          <cell r="L201">
            <v>-10000</v>
          </cell>
          <cell r="M201">
            <v>10000</v>
          </cell>
          <cell r="S201">
            <v>5000</v>
          </cell>
          <cell r="T201">
            <v>5000</v>
          </cell>
          <cell r="Y201">
            <v>8000</v>
          </cell>
          <cell r="Z201">
            <v>5722</v>
          </cell>
        </row>
        <row r="202">
          <cell r="L202">
            <v>-1856</v>
          </cell>
          <cell r="M202">
            <v>1856</v>
          </cell>
          <cell r="S202">
            <v>969</v>
          </cell>
          <cell r="T202">
            <v>600</v>
          </cell>
          <cell r="Y202">
            <v>900</v>
          </cell>
          <cell r="Z202">
            <v>900</v>
          </cell>
        </row>
        <row r="203">
          <cell r="L203">
            <v>-1156</v>
          </cell>
          <cell r="M203">
            <v>1156</v>
          </cell>
          <cell r="S203">
            <v>1000</v>
          </cell>
          <cell r="T203">
            <v>600</v>
          </cell>
          <cell r="Y203">
            <v>900</v>
          </cell>
          <cell r="Z203">
            <v>802</v>
          </cell>
        </row>
        <row r="204">
          <cell r="L204">
            <v>-1488</v>
          </cell>
          <cell r="M204">
            <v>1488</v>
          </cell>
          <cell r="S204">
            <v>2031</v>
          </cell>
          <cell r="T204">
            <v>800</v>
          </cell>
          <cell r="Y204">
            <v>1200</v>
          </cell>
          <cell r="Z204">
            <v>1000</v>
          </cell>
        </row>
        <row r="205">
          <cell r="K205">
            <v>0</v>
          </cell>
          <cell r="L205">
            <v>-4500</v>
          </cell>
          <cell r="M205">
            <v>4500</v>
          </cell>
          <cell r="S205">
            <v>4000</v>
          </cell>
          <cell r="T205">
            <v>2000</v>
          </cell>
          <cell r="Y205">
            <v>3000</v>
          </cell>
          <cell r="Z205">
            <v>2702</v>
          </cell>
        </row>
        <row r="206">
          <cell r="L206">
            <v>-3352</v>
          </cell>
          <cell r="M206">
            <v>3352</v>
          </cell>
          <cell r="S206">
            <v>2822</v>
          </cell>
          <cell r="T206">
            <v>2500</v>
          </cell>
          <cell r="Y206">
            <v>5250</v>
          </cell>
          <cell r="Z206">
            <v>1200</v>
          </cell>
        </row>
        <row r="207">
          <cell r="L207">
            <v>-3190</v>
          </cell>
          <cell r="M207">
            <v>3190</v>
          </cell>
          <cell r="S207">
            <v>2200</v>
          </cell>
          <cell r="T207">
            <v>2000</v>
          </cell>
          <cell r="Y207">
            <v>3000</v>
          </cell>
          <cell r="Z207">
            <v>1000</v>
          </cell>
        </row>
        <row r="208">
          <cell r="L208">
            <v>-3468</v>
          </cell>
          <cell r="M208">
            <v>3468</v>
          </cell>
          <cell r="S208">
            <v>3239</v>
          </cell>
          <cell r="T208">
            <v>3000</v>
          </cell>
          <cell r="Y208">
            <v>3000</v>
          </cell>
          <cell r="Z208">
            <v>1067</v>
          </cell>
        </row>
        <row r="209">
          <cell r="L209">
            <v>-2990</v>
          </cell>
          <cell r="M209">
            <v>2990</v>
          </cell>
          <cell r="S209">
            <v>2739</v>
          </cell>
          <cell r="T209">
            <v>2500</v>
          </cell>
          <cell r="Y209">
            <v>3750</v>
          </cell>
          <cell r="Z209">
            <v>1067</v>
          </cell>
        </row>
        <row r="210">
          <cell r="K210">
            <v>0</v>
          </cell>
          <cell r="L210">
            <v>-13000</v>
          </cell>
          <cell r="M210">
            <v>13000</v>
          </cell>
          <cell r="S210">
            <v>11000</v>
          </cell>
          <cell r="T210">
            <v>10000</v>
          </cell>
          <cell r="Y210">
            <v>15000</v>
          </cell>
          <cell r="Z210">
            <v>4334</v>
          </cell>
        </row>
        <row r="211">
          <cell r="L211">
            <v>-3000</v>
          </cell>
          <cell r="M211">
            <v>3000</v>
          </cell>
          <cell r="S211">
            <v>2500</v>
          </cell>
          <cell r="T211">
            <v>1500</v>
          </cell>
          <cell r="Y211">
            <v>2500</v>
          </cell>
          <cell r="Z211">
            <v>2077</v>
          </cell>
        </row>
        <row r="212">
          <cell r="L212">
            <v>-2000</v>
          </cell>
          <cell r="M212">
            <v>2000</v>
          </cell>
          <cell r="S212">
            <v>2000</v>
          </cell>
          <cell r="T212">
            <v>1200</v>
          </cell>
          <cell r="Y212">
            <v>2000</v>
          </cell>
          <cell r="Z212">
            <v>1405</v>
          </cell>
        </row>
        <row r="213">
          <cell r="L213">
            <v>-2000</v>
          </cell>
          <cell r="M213">
            <v>2000</v>
          </cell>
          <cell r="S213">
            <v>1500</v>
          </cell>
          <cell r="T213">
            <v>900</v>
          </cell>
          <cell r="Y213">
            <v>1500</v>
          </cell>
          <cell r="Z213">
            <v>1184</v>
          </cell>
        </row>
        <row r="214">
          <cell r="L214">
            <v>-3000</v>
          </cell>
          <cell r="M214">
            <v>3000</v>
          </cell>
          <cell r="S214">
            <v>4000</v>
          </cell>
          <cell r="T214">
            <v>2400</v>
          </cell>
          <cell r="Y214">
            <v>4000</v>
          </cell>
          <cell r="Z214">
            <v>2097</v>
          </cell>
        </row>
        <row r="215">
          <cell r="K215">
            <v>0</v>
          </cell>
          <cell r="L215">
            <v>-10000</v>
          </cell>
          <cell r="M215">
            <v>10000</v>
          </cell>
          <cell r="S215">
            <v>10000</v>
          </cell>
          <cell r="T215">
            <v>6000</v>
          </cell>
          <cell r="Y215">
            <v>10000</v>
          </cell>
          <cell r="Z215">
            <v>6763</v>
          </cell>
        </row>
        <row r="216">
          <cell r="L216">
            <v>0</v>
          </cell>
          <cell r="S216">
            <v>1500</v>
          </cell>
          <cell r="T216">
            <v>1000</v>
          </cell>
          <cell r="Y216">
            <v>1400</v>
          </cell>
          <cell r="Z216">
            <v>700</v>
          </cell>
        </row>
        <row r="217">
          <cell r="L217">
            <v>0</v>
          </cell>
          <cell r="S217">
            <v>1900</v>
          </cell>
          <cell r="T217">
            <v>1250</v>
          </cell>
          <cell r="Y217">
            <v>1750</v>
          </cell>
          <cell r="Z217">
            <v>900</v>
          </cell>
        </row>
        <row r="218">
          <cell r="L218">
            <v>0</v>
          </cell>
          <cell r="S218">
            <v>2700</v>
          </cell>
          <cell r="T218">
            <v>1500</v>
          </cell>
          <cell r="Y218">
            <v>2100</v>
          </cell>
          <cell r="Z218">
            <v>1500</v>
          </cell>
        </row>
      </sheetData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TE_COSTURA"/>
      <sheetName val="Distribuição ABRIL"/>
      <sheetName val="Distribuição MAIO"/>
      <sheetName val="Distribuição MAIO (2)"/>
      <sheetName val="Distribuição JUNHO"/>
      <sheetName val="Distribuição MAIO _2_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Grupo de Números"/>
      <sheetName val="ENFEITE 01 BATMAN"/>
      <sheetName val="22350 - ENFEITE 01 BATMAN"/>
    </sheetNames>
    <sheetDataSet>
      <sheetData sheetId="0">
        <row r="1">
          <cell r="B1" t="str">
            <v>Mix</v>
          </cell>
        </row>
        <row r="2">
          <cell r="E2" t="str">
            <v>Sintético 1</v>
          </cell>
          <cell r="F2">
            <v>0</v>
          </cell>
        </row>
        <row r="3">
          <cell r="E3" t="str">
            <v>Sintético 2</v>
          </cell>
          <cell r="F3" t="str">
            <v>1</v>
          </cell>
        </row>
        <row r="4">
          <cell r="E4" t="str">
            <v>Sintético 3</v>
          </cell>
        </row>
        <row r="5">
          <cell r="E5" t="str">
            <v>Sintético 4</v>
          </cell>
        </row>
      </sheetData>
      <sheetData sheetId="1"/>
      <sheetData sheetId="2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sConfig"/>
      <sheetName val="Parâmetros EVA"/>
      <sheetName val="COURACA"/>
      <sheetName val="PALMILHA MONTAGEM"/>
      <sheetName val="ESPUMA GOLA PLACA 2x1,5"/>
      <sheetName val="ESPUMA GOLA PLACA 1,6x1,2"/>
      <sheetName val="CABEDAL "/>
      <sheetName val="LINGUETA"/>
      <sheetName val="BIQUEIRA VISTA INFERIOR"/>
      <sheetName val="ENFEITE X EXT"/>
      <sheetName val="ENFEITE X INT"/>
      <sheetName val="COURAÇA"/>
      <sheetName val="FORRO LINGUETA"/>
      <sheetName val="REFORÇO CABEDAL"/>
      <sheetName val="GOLA AVESSO"/>
      <sheetName val="ENFEITE LINGUETA"/>
      <sheetName val="ENFEITE TRASEIRO"/>
      <sheetName val="ENFEITE VISTA SUPERIOR"/>
      <sheetName val="TECIDO PALMILHA"/>
      <sheetName val="FILME PALMILHA"/>
      <sheetName val="PALMILHA EVA"/>
      <sheetName val="PC"/>
      <sheetName val="Histórico de Alterações"/>
      <sheetName val="Mapa de Materiais"/>
      <sheetName val="Mapa de Processos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</sheetNames>
    <sheetDataSet>
      <sheetData sheetId="0" refreshError="1"/>
      <sheetData sheetId="1">
        <row r="2">
          <cell r="G2" t="str">
            <v>Parâmetros Que Variam Por Composto x Espessura</v>
          </cell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8.5</v>
          </cell>
          <cell r="G16" t="str">
            <v>EVA RSU8,5</v>
          </cell>
          <cell r="H16" t="str">
            <v>EVA RSU</v>
          </cell>
          <cell r="I16">
            <v>8.5</v>
          </cell>
          <cell r="J16">
            <v>16</v>
          </cell>
          <cell r="K16">
            <v>3</v>
          </cell>
          <cell r="L16">
            <v>10.8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</v>
          </cell>
          <cell r="G17" t="str">
            <v>EVA RSU10</v>
          </cell>
          <cell r="H17" t="str">
            <v>EVA RSU</v>
          </cell>
          <cell r="I17">
            <v>10</v>
          </cell>
          <cell r="J17">
            <v>18</v>
          </cell>
          <cell r="K17">
            <v>3</v>
          </cell>
          <cell r="L17">
            <v>12.2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10.5</v>
          </cell>
          <cell r="G18" t="str">
            <v>EVA RSU10,5</v>
          </cell>
          <cell r="H18" t="str">
            <v>EVA RSU</v>
          </cell>
          <cell r="I18">
            <v>10.5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11</v>
          </cell>
          <cell r="G19" t="str">
            <v>EVA RSU11</v>
          </cell>
          <cell r="H19" t="str">
            <v>EVA RSU</v>
          </cell>
          <cell r="I19">
            <v>11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12</v>
          </cell>
          <cell r="G20" t="str">
            <v>EVA RSU12</v>
          </cell>
          <cell r="H20" t="str">
            <v>EVA RSU</v>
          </cell>
          <cell r="I20">
            <v>12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13</v>
          </cell>
          <cell r="G21" t="str">
            <v>EVA RSU13</v>
          </cell>
          <cell r="H21" t="str">
            <v>EVA RSU</v>
          </cell>
          <cell r="I21">
            <v>13</v>
          </cell>
          <cell r="J21">
            <v>16</v>
          </cell>
          <cell r="K21">
            <v>2</v>
          </cell>
          <cell r="L21">
            <v>10.8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15</v>
          </cell>
          <cell r="G22" t="str">
            <v>EVA RSU15</v>
          </cell>
          <cell r="H22" t="str">
            <v>EVA RSU</v>
          </cell>
          <cell r="I22">
            <v>15</v>
          </cell>
          <cell r="J22">
            <v>18</v>
          </cell>
          <cell r="K22">
            <v>2</v>
          </cell>
          <cell r="L22">
            <v>12.2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24</v>
          </cell>
          <cell r="G23" t="str">
            <v>EVA RSU24</v>
          </cell>
          <cell r="H23" t="str">
            <v>EVA RSU</v>
          </cell>
          <cell r="I23">
            <v>24</v>
          </cell>
          <cell r="J23">
            <v>16</v>
          </cell>
          <cell r="K23">
            <v>1</v>
          </cell>
          <cell r="L23">
            <v>10.8</v>
          </cell>
          <cell r="M23">
            <v>1750</v>
          </cell>
          <cell r="N23">
            <v>1110</v>
          </cell>
          <cell r="O23">
            <v>1730</v>
          </cell>
          <cell r="P23">
            <v>1090</v>
          </cell>
        </row>
        <row r="24">
          <cell r="E24">
            <v>9</v>
          </cell>
          <cell r="G24" t="str">
            <v>EVA TK1,8</v>
          </cell>
          <cell r="H24" t="str">
            <v>EVA TK</v>
          </cell>
          <cell r="I24">
            <v>1.8</v>
          </cell>
          <cell r="J24">
            <v>16</v>
          </cell>
          <cell r="K24">
            <v>12</v>
          </cell>
          <cell r="L24">
            <v>11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20</v>
          </cell>
          <cell r="G25" t="str">
            <v>EVA TK3</v>
          </cell>
          <cell r="H25" t="str">
            <v>EVA TK</v>
          </cell>
          <cell r="I25">
            <v>3</v>
          </cell>
          <cell r="J25">
            <v>18</v>
          </cell>
          <cell r="K25">
            <v>9</v>
          </cell>
          <cell r="L25">
            <v>13.5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E26">
            <v>30</v>
          </cell>
          <cell r="G26" t="str">
            <v>EVA TK3,5</v>
          </cell>
          <cell r="H26" t="str">
            <v>EVA TK</v>
          </cell>
          <cell r="I26">
            <v>3.5</v>
          </cell>
          <cell r="J26">
            <v>16</v>
          </cell>
          <cell r="K26">
            <v>6</v>
          </cell>
          <cell r="L26">
            <v>11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TK4,5</v>
          </cell>
          <cell r="H27" t="str">
            <v>EVA TK</v>
          </cell>
          <cell r="I27">
            <v>4.5</v>
          </cell>
          <cell r="J27">
            <v>18</v>
          </cell>
          <cell r="K27">
            <v>6</v>
          </cell>
          <cell r="L27">
            <v>13.5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</v>
          </cell>
          <cell r="H28" t="str">
            <v>EVA TK</v>
          </cell>
          <cell r="I28">
            <v>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TK5,5</v>
          </cell>
          <cell r="H29" t="str">
            <v>EVA TK</v>
          </cell>
          <cell r="I29">
            <v>5.5</v>
          </cell>
          <cell r="J29">
            <v>16</v>
          </cell>
          <cell r="K29">
            <v>4</v>
          </cell>
          <cell r="L29">
            <v>11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TK6</v>
          </cell>
          <cell r="H30" t="str">
            <v>EVA TK</v>
          </cell>
          <cell r="I30">
            <v>6</v>
          </cell>
          <cell r="J30">
            <v>18</v>
          </cell>
          <cell r="K30">
            <v>4</v>
          </cell>
          <cell r="L30">
            <v>13.5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TK7</v>
          </cell>
          <cell r="H31" t="str">
            <v>EVA TK</v>
          </cell>
          <cell r="I31">
            <v>7</v>
          </cell>
          <cell r="J31">
            <v>16</v>
          </cell>
          <cell r="K31">
            <v>3</v>
          </cell>
          <cell r="L31">
            <v>11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TK8</v>
          </cell>
          <cell r="H32" t="str">
            <v>EVA TK</v>
          </cell>
          <cell r="I32">
            <v>8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TK9</v>
          </cell>
          <cell r="H33" t="str">
            <v>EVA TK</v>
          </cell>
          <cell r="I33">
            <v>9</v>
          </cell>
          <cell r="J33">
            <v>18</v>
          </cell>
          <cell r="K33">
            <v>3</v>
          </cell>
          <cell r="L33">
            <v>13.5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TK10</v>
          </cell>
          <cell r="H34" t="str">
            <v>EVA TK</v>
          </cell>
          <cell r="I34">
            <v>10</v>
          </cell>
          <cell r="J34">
            <v>16</v>
          </cell>
          <cell r="K34">
            <v>2</v>
          </cell>
          <cell r="L34">
            <v>11</v>
          </cell>
          <cell r="M34">
            <v>1650</v>
          </cell>
          <cell r="N34">
            <v>1030</v>
          </cell>
          <cell r="O34">
            <v>1690</v>
          </cell>
          <cell r="P34">
            <v>1010</v>
          </cell>
        </row>
        <row r="35">
          <cell r="G35" t="str">
            <v>EVA REU4</v>
          </cell>
          <cell r="H35" t="str">
            <v>EVA REU</v>
          </cell>
          <cell r="I35">
            <v>4</v>
          </cell>
          <cell r="J35">
            <v>16</v>
          </cell>
          <cell r="K35">
            <v>6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REU5</v>
          </cell>
          <cell r="H36" t="str">
            <v>EVA REU</v>
          </cell>
          <cell r="I36">
            <v>5</v>
          </cell>
          <cell r="J36">
            <v>16</v>
          </cell>
          <cell r="K36">
            <v>5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REU6</v>
          </cell>
          <cell r="H37" t="str">
            <v>EVA REU</v>
          </cell>
          <cell r="I37">
            <v>6</v>
          </cell>
          <cell r="J37">
            <v>16</v>
          </cell>
          <cell r="K37">
            <v>4</v>
          </cell>
          <cell r="L37">
            <v>10</v>
          </cell>
          <cell r="M37">
            <v>1680</v>
          </cell>
          <cell r="N37">
            <v>980</v>
          </cell>
          <cell r="O37">
            <v>1660</v>
          </cell>
          <cell r="P37">
            <v>960</v>
          </cell>
        </row>
        <row r="38">
          <cell r="G38" t="str">
            <v>EVA REU12</v>
          </cell>
          <cell r="H38" t="str">
            <v>EVA REU</v>
          </cell>
          <cell r="I38">
            <v>12</v>
          </cell>
          <cell r="J38">
            <v>12</v>
          </cell>
          <cell r="K38">
            <v>2</v>
          </cell>
          <cell r="L38">
            <v>6.8</v>
          </cell>
          <cell r="M38">
            <v>1460</v>
          </cell>
          <cell r="N38">
            <v>950</v>
          </cell>
          <cell r="O38">
            <v>1440</v>
          </cell>
          <cell r="P38">
            <v>930</v>
          </cell>
        </row>
        <row r="39">
          <cell r="G39" t="str">
            <v>EVA GR2</v>
          </cell>
          <cell r="H39" t="str">
            <v>EVA GR</v>
          </cell>
          <cell r="I39">
            <v>2</v>
          </cell>
          <cell r="J39">
            <v>10.199999999999999</v>
          </cell>
          <cell r="K39">
            <v>9</v>
          </cell>
          <cell r="L39">
            <v>5</v>
          </cell>
          <cell r="M39">
            <v>1600</v>
          </cell>
          <cell r="N39">
            <v>1300</v>
          </cell>
          <cell r="O39">
            <v>1600</v>
          </cell>
          <cell r="P39">
            <v>1300</v>
          </cell>
        </row>
        <row r="40">
          <cell r="G40" t="str">
            <v>EVA ME1,8</v>
          </cell>
          <cell r="H40" t="str">
            <v>EVA ME</v>
          </cell>
          <cell r="I40">
            <v>1.8</v>
          </cell>
          <cell r="J40">
            <v>18</v>
          </cell>
          <cell r="K40">
            <v>16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ME6</v>
          </cell>
          <cell r="H41" t="str">
            <v>EVA ME</v>
          </cell>
          <cell r="I41">
            <v>6</v>
          </cell>
          <cell r="J41">
            <v>18</v>
          </cell>
          <cell r="K41">
            <v>5</v>
          </cell>
          <cell r="L41">
            <v>12.2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ME8</v>
          </cell>
          <cell r="H42" t="str">
            <v>EVA ME</v>
          </cell>
          <cell r="I42">
            <v>8</v>
          </cell>
          <cell r="J42">
            <v>16</v>
          </cell>
          <cell r="K42">
            <v>3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ME10,5</v>
          </cell>
          <cell r="H43" t="str">
            <v>EVA ME</v>
          </cell>
          <cell r="I43">
            <v>10.5</v>
          </cell>
          <cell r="J43">
            <v>16</v>
          </cell>
          <cell r="K43">
            <v>2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ME20</v>
          </cell>
          <cell r="H44" t="str">
            <v>EVA ME</v>
          </cell>
          <cell r="I44">
            <v>20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ME24</v>
          </cell>
          <cell r="H45" t="str">
            <v>EVA ME</v>
          </cell>
          <cell r="I45">
            <v>24</v>
          </cell>
          <cell r="J45">
            <v>16</v>
          </cell>
          <cell r="K45">
            <v>1</v>
          </cell>
          <cell r="L45">
            <v>10.8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ME30</v>
          </cell>
          <cell r="H46" t="str">
            <v>EVA ME</v>
          </cell>
          <cell r="I46">
            <v>30</v>
          </cell>
          <cell r="J46">
            <v>18</v>
          </cell>
          <cell r="K46">
            <v>1</v>
          </cell>
          <cell r="L46">
            <v>12.2</v>
          </cell>
          <cell r="M46">
            <v>168</v>
          </cell>
          <cell r="N46">
            <v>1050</v>
          </cell>
          <cell r="O46">
            <v>1660</v>
          </cell>
          <cell r="P46">
            <v>1030</v>
          </cell>
        </row>
        <row r="47">
          <cell r="G47" t="str">
            <v>EVA PEB11</v>
          </cell>
          <cell r="H47" t="str">
            <v>EVA PEB</v>
          </cell>
          <cell r="I47">
            <v>11</v>
          </cell>
          <cell r="J47">
            <v>16</v>
          </cell>
          <cell r="K47">
            <v>2</v>
          </cell>
          <cell r="L47">
            <v>10.8</v>
          </cell>
          <cell r="M47">
            <v>1740</v>
          </cell>
          <cell r="N47">
            <v>1060</v>
          </cell>
          <cell r="O47">
            <v>1720</v>
          </cell>
          <cell r="P47">
            <v>1040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B4" t="str">
            <v>39510A</v>
          </cell>
          <cell r="AP4" t="str">
            <v>MELISSA X BEND AD</v>
          </cell>
          <cell r="HR4">
            <v>46174</v>
          </cell>
          <cell r="NV4" t="str">
            <v>Escala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B4B8-C1F4-4496-B1BE-F6A0B0164CA3}">
  <sheetPr codeName="PLAN19" filterMode="1"/>
  <dimension ref="B1:ER414"/>
  <sheetViews>
    <sheetView showGridLines="0" showZeros="0" topLeftCell="A18" zoomScaleNormal="100" zoomScaleSheetLayoutView="70" workbookViewId="0">
      <selection activeCell="C51" sqref="C51:E51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33" ht="36" customHeight="1" thickBot="1" x14ac:dyDescent="0.25"/>
    <row r="2" spans="2:33" ht="4.5" customHeight="1" x14ac:dyDescent="0.2">
      <c r="B2" s="159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90"/>
    </row>
    <row r="3" spans="2:33" ht="38.25" customHeight="1" x14ac:dyDescent="0.2">
      <c r="B3" s="48"/>
      <c r="C3" s="189" t="s">
        <v>92</v>
      </c>
      <c r="D3" s="188"/>
      <c r="E3" s="187"/>
      <c r="F3" s="186" t="s">
        <v>91</v>
      </c>
      <c r="G3" s="186"/>
      <c r="H3" s="185"/>
      <c r="I3" s="185"/>
      <c r="J3" s="184"/>
      <c r="K3" s="184"/>
      <c r="L3" s="184"/>
      <c r="M3" s="184"/>
      <c r="N3" s="44"/>
    </row>
    <row r="4" spans="2:33" ht="21.95" customHeight="1" x14ac:dyDescent="0.2">
      <c r="B4" s="48"/>
      <c r="C4" s="177"/>
      <c r="D4" s="176"/>
      <c r="E4" s="175"/>
      <c r="F4" s="182" t="s">
        <v>90</v>
      </c>
      <c r="G4" s="181"/>
      <c r="H4" s="180"/>
      <c r="K4" s="179" t="s">
        <v>89</v>
      </c>
      <c r="L4" s="178"/>
      <c r="N4" s="44"/>
    </row>
    <row r="5" spans="2:33" ht="21.95" customHeight="1" x14ac:dyDescent="0.2">
      <c r="B5" s="48"/>
      <c r="C5" s="177"/>
      <c r="D5" s="176"/>
      <c r="E5" s="175"/>
      <c r="F5" s="174"/>
      <c r="G5" s="181"/>
      <c r="H5" s="183"/>
      <c r="K5" s="179" t="s">
        <v>88</v>
      </c>
      <c r="L5" s="178"/>
      <c r="N5" s="44"/>
      <c r="AC5" s="92"/>
      <c r="AD5" s="92"/>
      <c r="AE5" s="92"/>
      <c r="AF5" s="92"/>
      <c r="AG5" s="92"/>
    </row>
    <row r="6" spans="2:33" ht="21.95" customHeight="1" x14ac:dyDescent="0.2">
      <c r="B6" s="48"/>
      <c r="C6" s="177"/>
      <c r="D6" s="176"/>
      <c r="E6" s="175"/>
      <c r="F6" s="182"/>
      <c r="G6" s="181"/>
      <c r="H6" s="180"/>
      <c r="K6" s="179" t="s">
        <v>87</v>
      </c>
      <c r="L6" s="178"/>
      <c r="N6" s="44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92"/>
      <c r="AD6" s="92"/>
      <c r="AE6" s="92"/>
      <c r="AF6" s="92"/>
      <c r="AG6" s="92"/>
    </row>
    <row r="7" spans="2:33" ht="21.95" customHeight="1" x14ac:dyDescent="0.2">
      <c r="B7" s="48"/>
      <c r="C7" s="177"/>
      <c r="D7" s="176"/>
      <c r="E7" s="175"/>
      <c r="F7" s="174"/>
      <c r="G7" s="173" t="s">
        <v>86</v>
      </c>
      <c r="H7" s="172"/>
      <c r="N7" s="44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92"/>
      <c r="AD7" s="92">
        <v>4</v>
      </c>
      <c r="AE7" s="92"/>
      <c r="AF7" s="92"/>
      <c r="AG7" s="92">
        <v>3.7567567567567566</v>
      </c>
    </row>
    <row r="8" spans="2:33" ht="11.25" customHeight="1" thickBot="1" x14ac:dyDescent="0.25">
      <c r="B8" s="48"/>
      <c r="C8" s="115"/>
      <c r="D8" s="42"/>
      <c r="E8" s="113"/>
      <c r="F8" s="42"/>
      <c r="G8" s="171" t="s">
        <v>85</v>
      </c>
      <c r="H8" s="170">
        <v>44354.544166666667</v>
      </c>
      <c r="I8" s="42"/>
      <c r="J8" s="169"/>
      <c r="K8" s="168"/>
      <c r="L8" s="167"/>
      <c r="M8" s="167"/>
      <c r="N8" s="44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92"/>
      <c r="AD8" s="92">
        <v>5.6818181818181817</v>
      </c>
      <c r="AE8" s="92"/>
      <c r="AF8" s="92"/>
      <c r="AG8" s="92">
        <v>5.2631578947368425</v>
      </c>
    </row>
    <row r="9" spans="2:33" ht="15.75" thickBot="1" x14ac:dyDescent="0.25">
      <c r="B9" s="48"/>
      <c r="C9" s="166" t="s">
        <v>84</v>
      </c>
      <c r="D9" s="165" t="s">
        <v>83</v>
      </c>
      <c r="E9" s="165" t="s">
        <v>82</v>
      </c>
      <c r="F9" s="135" t="s">
        <v>81</v>
      </c>
      <c r="G9" s="133"/>
      <c r="H9" s="135" t="s">
        <v>80</v>
      </c>
      <c r="I9" s="134"/>
      <c r="J9" s="133"/>
      <c r="K9" s="135" t="s">
        <v>79</v>
      </c>
      <c r="L9" s="134"/>
      <c r="M9" s="133"/>
      <c r="N9" s="44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92"/>
      <c r="AD9" s="92">
        <v>20.227272727272727</v>
      </c>
      <c r="AE9" s="92"/>
      <c r="AF9" s="92"/>
      <c r="AG9" s="92">
        <v>17.795163584637269</v>
      </c>
    </row>
    <row r="10" spans="2:33" ht="6.75" customHeight="1" x14ac:dyDescent="0.2">
      <c r="B10" s="48"/>
      <c r="C10" s="118"/>
      <c r="D10" s="164"/>
      <c r="E10" s="163"/>
      <c r="F10" s="162"/>
      <c r="G10" s="157"/>
      <c r="H10" s="161"/>
      <c r="I10" s="160"/>
      <c r="J10" s="160"/>
      <c r="K10" s="159"/>
      <c r="L10" s="158"/>
      <c r="M10" s="157"/>
      <c r="N10" s="44"/>
      <c r="P10" s="1">
        <v>1</v>
      </c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92"/>
      <c r="AD10" s="92"/>
      <c r="AE10" s="92"/>
      <c r="AF10" s="92"/>
      <c r="AG10" s="92"/>
    </row>
    <row r="11" spans="2:33" ht="15" customHeight="1" x14ac:dyDescent="0.2">
      <c r="B11" s="48"/>
      <c r="C11" s="125" t="s">
        <v>78</v>
      </c>
      <c r="D11" s="124">
        <v>1</v>
      </c>
      <c r="E11" s="124" t="s">
        <v>77</v>
      </c>
      <c r="F11" s="129">
        <v>32.54</v>
      </c>
      <c r="G11" s="136"/>
      <c r="H11" s="156" t="s">
        <v>76</v>
      </c>
      <c r="I11" s="155"/>
      <c r="J11" s="155"/>
      <c r="K11" s="154" t="s">
        <v>75</v>
      </c>
      <c r="L11" s="153"/>
      <c r="M11" s="152"/>
      <c r="N11" s="44"/>
      <c r="P11" s="1">
        <v>1</v>
      </c>
      <c r="S11" s="109"/>
      <c r="T11" s="109"/>
      <c r="U11" s="109"/>
      <c r="V11" s="109"/>
      <c r="W11" s="109"/>
      <c r="X11" s="109"/>
      <c r="Y11" s="109"/>
      <c r="Z11" s="109"/>
      <c r="AA11" s="109"/>
      <c r="AC11" s="92"/>
      <c r="AD11" s="92"/>
      <c r="AE11" s="92"/>
      <c r="AF11" s="92"/>
      <c r="AG11" s="92"/>
    </row>
    <row r="12" spans="2:33" ht="15" customHeight="1" thickBot="1" x14ac:dyDescent="0.25">
      <c r="B12" s="48"/>
      <c r="C12" s="125" t="s">
        <v>74</v>
      </c>
      <c r="D12" s="124">
        <v>1</v>
      </c>
      <c r="E12" s="124" t="s">
        <v>73</v>
      </c>
      <c r="F12" s="129">
        <v>31.7</v>
      </c>
      <c r="G12" s="136"/>
      <c r="H12" s="151"/>
      <c r="I12" s="150"/>
      <c r="J12" s="150"/>
      <c r="K12" s="149"/>
      <c r="L12" s="148"/>
      <c r="M12" s="147"/>
      <c r="N12" s="44"/>
      <c r="P12" s="1">
        <v>1</v>
      </c>
      <c r="S12" s="109"/>
      <c r="T12" s="109"/>
      <c r="U12" s="109"/>
      <c r="V12" s="109"/>
      <c r="W12" s="109"/>
      <c r="X12" s="109"/>
      <c r="Y12" s="109"/>
      <c r="Z12" s="109"/>
      <c r="AA12" s="109"/>
      <c r="AB12" s="146"/>
    </row>
    <row r="13" spans="2:33" ht="15" customHeight="1" thickBot="1" x14ac:dyDescent="0.25">
      <c r="B13" s="48"/>
      <c r="C13" s="125" t="s">
        <v>72</v>
      </c>
      <c r="D13" s="124">
        <v>1</v>
      </c>
      <c r="E13" s="124" t="s">
        <v>71</v>
      </c>
      <c r="F13" s="129">
        <v>30.8</v>
      </c>
      <c r="G13" s="136"/>
      <c r="H13" s="135" t="s">
        <v>70</v>
      </c>
      <c r="I13" s="134"/>
      <c r="J13" s="134"/>
      <c r="K13" s="134"/>
      <c r="L13" s="134"/>
      <c r="M13" s="133"/>
      <c r="N13" s="44"/>
      <c r="P13" s="1">
        <v>1</v>
      </c>
      <c r="S13" s="109"/>
      <c r="T13" s="109"/>
      <c r="U13" s="109"/>
      <c r="V13" s="109"/>
      <c r="W13" s="109"/>
      <c r="X13" s="109"/>
      <c r="Y13" s="109"/>
      <c r="Z13" s="109"/>
      <c r="AA13" s="109"/>
      <c r="AB13" s="109"/>
    </row>
    <row r="14" spans="2:33" ht="15" customHeight="1" x14ac:dyDescent="0.2">
      <c r="B14" s="48"/>
      <c r="C14" s="125" t="s">
        <v>6</v>
      </c>
      <c r="D14" s="124">
        <v>1</v>
      </c>
      <c r="E14" s="124" t="s">
        <v>69</v>
      </c>
      <c r="F14" s="129">
        <v>27.41</v>
      </c>
      <c r="G14" s="136"/>
      <c r="H14" s="145" t="s">
        <v>68</v>
      </c>
      <c r="I14" s="144"/>
      <c r="J14" s="144"/>
      <c r="K14" s="144"/>
      <c r="L14" s="144"/>
      <c r="M14" s="143"/>
      <c r="N14" s="44"/>
      <c r="P14" s="1">
        <v>1</v>
      </c>
      <c r="S14" s="109"/>
      <c r="T14" s="109"/>
      <c r="U14" s="109"/>
      <c r="V14" s="109"/>
      <c r="W14" s="109"/>
      <c r="X14" s="109"/>
      <c r="Y14" s="109"/>
      <c r="Z14" s="109"/>
      <c r="AA14" s="109"/>
      <c r="AB14" s="109"/>
    </row>
    <row r="15" spans="2:33" ht="15" customHeight="1" x14ac:dyDescent="0.2">
      <c r="B15" s="48"/>
      <c r="C15" s="125" t="s">
        <v>67</v>
      </c>
      <c r="D15" s="124">
        <v>1</v>
      </c>
      <c r="E15" s="124" t="s">
        <v>66</v>
      </c>
      <c r="F15" s="129">
        <v>26.84</v>
      </c>
      <c r="G15" s="136"/>
      <c r="H15" s="142"/>
      <c r="I15" s="141"/>
      <c r="J15" s="141"/>
      <c r="K15" s="141"/>
      <c r="L15" s="141"/>
      <c r="M15" s="140"/>
      <c r="N15" s="44"/>
      <c r="P15" s="1">
        <v>1</v>
      </c>
      <c r="S15" s="109"/>
      <c r="T15" s="109"/>
      <c r="U15" s="109"/>
      <c r="V15" s="109"/>
      <c r="W15" s="109"/>
      <c r="X15" s="109"/>
      <c r="Y15" s="109"/>
      <c r="Z15" s="109"/>
      <c r="AA15" s="109"/>
      <c r="AB15" s="109"/>
    </row>
    <row r="16" spans="2:33" ht="15" customHeight="1" thickBot="1" x14ac:dyDescent="0.25">
      <c r="B16" s="48"/>
      <c r="C16" s="125" t="s">
        <v>65</v>
      </c>
      <c r="D16" s="124">
        <v>1</v>
      </c>
      <c r="E16" s="124" t="s">
        <v>64</v>
      </c>
      <c r="F16" s="129">
        <v>26.38</v>
      </c>
      <c r="G16" s="136"/>
      <c r="H16" s="139"/>
      <c r="I16" s="138"/>
      <c r="J16" s="138"/>
      <c r="K16" s="138"/>
      <c r="L16" s="138"/>
      <c r="M16" s="137"/>
      <c r="N16" s="44"/>
      <c r="P16" s="1">
        <v>1</v>
      </c>
      <c r="S16" s="109"/>
      <c r="T16" s="109"/>
      <c r="U16" s="109"/>
      <c r="V16" s="109"/>
      <c r="W16" s="109"/>
      <c r="X16" s="109"/>
      <c r="Y16" s="109"/>
      <c r="Z16" s="109"/>
      <c r="AA16" s="109"/>
      <c r="AB16" s="109"/>
    </row>
    <row r="17" spans="2:28" ht="15" customHeight="1" thickBot="1" x14ac:dyDescent="0.25">
      <c r="B17" s="48"/>
      <c r="C17" s="125" t="s">
        <v>63</v>
      </c>
      <c r="D17" s="124">
        <v>1</v>
      </c>
      <c r="E17" s="124" t="s">
        <v>62</v>
      </c>
      <c r="F17" s="129">
        <v>20.94</v>
      </c>
      <c r="G17" s="136"/>
      <c r="H17" s="135" t="s">
        <v>61</v>
      </c>
      <c r="I17" s="134"/>
      <c r="J17" s="134"/>
      <c r="K17" s="134"/>
      <c r="L17" s="134"/>
      <c r="M17" s="133"/>
      <c r="N17" s="44"/>
      <c r="P17" s="1">
        <v>1</v>
      </c>
      <c r="S17" s="109"/>
      <c r="T17" s="109"/>
      <c r="U17" s="109"/>
      <c r="V17" s="109"/>
      <c r="W17" s="109"/>
      <c r="X17" s="109"/>
      <c r="Y17" s="109"/>
      <c r="Z17" s="109"/>
      <c r="AA17" s="109"/>
      <c r="AB17" s="109"/>
    </row>
    <row r="18" spans="2:28" ht="15" customHeight="1" x14ac:dyDescent="0.2">
      <c r="B18" s="48"/>
      <c r="C18" s="125" t="s">
        <v>60</v>
      </c>
      <c r="D18" s="124">
        <v>1</v>
      </c>
      <c r="E18" s="124" t="s">
        <v>59</v>
      </c>
      <c r="F18" s="129">
        <v>19.91</v>
      </c>
      <c r="G18" s="122"/>
      <c r="H18" s="132" t="s">
        <v>58</v>
      </c>
      <c r="I18" s="131"/>
      <c r="J18" s="131"/>
      <c r="K18" s="131"/>
      <c r="L18" s="131"/>
      <c r="M18" s="130"/>
      <c r="N18" s="44"/>
      <c r="P18" s="1">
        <v>1</v>
      </c>
      <c r="S18" s="109"/>
      <c r="T18" s="109"/>
      <c r="U18" s="109"/>
      <c r="V18" s="109"/>
      <c r="W18" s="109"/>
      <c r="X18" s="109"/>
      <c r="Y18" s="109"/>
      <c r="Z18" s="109"/>
      <c r="AA18" s="109"/>
      <c r="AB18" s="109"/>
    </row>
    <row r="19" spans="2:28" ht="15" customHeight="1" x14ac:dyDescent="0.2">
      <c r="B19" s="48"/>
      <c r="C19" s="125" t="s">
        <v>1</v>
      </c>
      <c r="D19" s="124">
        <v>1</v>
      </c>
      <c r="E19" s="124" t="s">
        <v>57</v>
      </c>
      <c r="F19" s="129">
        <v>19.72</v>
      </c>
      <c r="G19" s="122"/>
      <c r="H19" s="128"/>
      <c r="I19" s="127"/>
      <c r="J19" s="127"/>
      <c r="K19" s="127"/>
      <c r="L19" s="127"/>
      <c r="M19" s="126"/>
      <c r="N19" s="44"/>
      <c r="P19" s="1">
        <v>1</v>
      </c>
      <c r="S19" s="109"/>
      <c r="T19" s="109"/>
      <c r="U19" s="109"/>
      <c r="V19" s="109"/>
      <c r="W19" s="109"/>
      <c r="X19" s="109"/>
      <c r="Y19" s="109"/>
      <c r="Z19" s="109"/>
      <c r="AA19" s="109"/>
      <c r="AB19" s="109"/>
    </row>
    <row r="20" spans="2:28" ht="15" customHeight="1" x14ac:dyDescent="0.2">
      <c r="B20" s="48"/>
      <c r="C20" s="125" t="s">
        <v>56</v>
      </c>
      <c r="D20" s="124">
        <v>1</v>
      </c>
      <c r="E20" s="124" t="s">
        <v>55</v>
      </c>
      <c r="F20" s="129">
        <v>21.86</v>
      </c>
      <c r="G20" s="122"/>
      <c r="H20" s="128"/>
      <c r="I20" s="127"/>
      <c r="J20" s="127"/>
      <c r="K20" s="127"/>
      <c r="L20" s="127"/>
      <c r="M20" s="126"/>
      <c r="N20" s="44"/>
      <c r="P20" s="1">
        <v>1</v>
      </c>
      <c r="S20" s="109"/>
      <c r="T20" s="109"/>
      <c r="U20" s="109"/>
      <c r="V20" s="109"/>
      <c r="W20" s="109"/>
      <c r="X20" s="109"/>
      <c r="Y20" s="109"/>
      <c r="Z20" s="109"/>
      <c r="AA20" s="109"/>
      <c r="AB20" s="109"/>
    </row>
    <row r="21" spans="2:28" ht="15" customHeight="1" thickBot="1" x14ac:dyDescent="0.25">
      <c r="B21" s="48"/>
      <c r="C21" s="125"/>
      <c r="D21" s="124"/>
      <c r="E21" s="124"/>
      <c r="F21" s="123">
        <v>0</v>
      </c>
      <c r="G21" s="122"/>
      <c r="H21" s="121"/>
      <c r="I21" s="120"/>
      <c r="J21" s="120"/>
      <c r="K21" s="120"/>
      <c r="L21" s="120"/>
      <c r="M21" s="119"/>
      <c r="N21" s="44"/>
      <c r="P21" s="1">
        <v>1</v>
      </c>
      <c r="S21" s="92"/>
      <c r="T21" s="92"/>
      <c r="U21" s="92"/>
      <c r="V21" s="109"/>
      <c r="W21" s="109"/>
      <c r="X21" s="109"/>
      <c r="Y21" s="109"/>
      <c r="Z21" s="109"/>
      <c r="AA21" s="109"/>
      <c r="AB21" s="109"/>
    </row>
    <row r="22" spans="2:28" ht="6" customHeight="1" thickBot="1" x14ac:dyDescent="0.25">
      <c r="B22" s="48"/>
      <c r="C22" s="118"/>
      <c r="D22" s="117"/>
      <c r="E22" s="116"/>
      <c r="F22" s="115"/>
      <c r="G22" s="113"/>
      <c r="H22" s="115"/>
      <c r="I22" s="42"/>
      <c r="J22" s="42"/>
      <c r="K22" s="42"/>
      <c r="L22" s="114"/>
      <c r="M22" s="113"/>
      <c r="N22" s="44"/>
      <c r="P22" s="1">
        <v>1</v>
      </c>
      <c r="S22" s="92"/>
      <c r="T22" s="92"/>
      <c r="U22" s="92"/>
      <c r="V22" s="109"/>
      <c r="W22" s="109"/>
      <c r="X22" s="109"/>
      <c r="Y22" s="109"/>
      <c r="Z22" s="109"/>
      <c r="AA22" s="109"/>
      <c r="AB22" s="109"/>
    </row>
    <row r="23" spans="2:28" ht="15.75" customHeight="1" thickBot="1" x14ac:dyDescent="0.3">
      <c r="B23" s="48"/>
      <c r="C23" s="112" t="s">
        <v>54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0"/>
      <c r="N23" s="44"/>
      <c r="P23" s="1">
        <v>1</v>
      </c>
      <c r="S23" s="92"/>
      <c r="T23" s="92">
        <v>4.0882352941176467</v>
      </c>
      <c r="U23" s="92"/>
      <c r="V23" s="109"/>
      <c r="W23" s="109"/>
      <c r="X23" s="109"/>
      <c r="Y23" s="109"/>
      <c r="Z23" s="109"/>
      <c r="AA23" s="109"/>
      <c r="AB23" s="109"/>
    </row>
    <row r="24" spans="2:28" ht="6" customHeight="1" x14ac:dyDescent="0.25">
      <c r="B24" s="48"/>
      <c r="C24" s="108"/>
      <c r="D24" s="107"/>
      <c r="E24" s="107"/>
      <c r="F24" s="103"/>
      <c r="G24" s="106"/>
      <c r="H24" s="105"/>
      <c r="I24" s="105"/>
      <c r="J24" s="104"/>
      <c r="K24" s="103"/>
      <c r="L24" s="103"/>
      <c r="M24" s="102"/>
      <c r="N24" s="101"/>
      <c r="O24" s="84"/>
      <c r="P24" s="1">
        <v>1</v>
      </c>
      <c r="S24" s="92"/>
      <c r="T24" s="92">
        <v>5.882352941176471</v>
      </c>
      <c r="U24" s="92"/>
    </row>
    <row r="25" spans="2:28" ht="14.1" customHeight="1" x14ac:dyDescent="0.25">
      <c r="B25" s="48"/>
      <c r="C25" s="100"/>
      <c r="E25" s="84"/>
      <c r="G25" s="99"/>
      <c r="H25" s="98"/>
      <c r="I25" s="84"/>
      <c r="J25" s="97" t="s">
        <v>53</v>
      </c>
      <c r="K25" s="96"/>
      <c r="L25" s="95"/>
      <c r="M25" s="44"/>
      <c r="N25" s="93"/>
      <c r="O25" s="3"/>
      <c r="P25" s="1">
        <v>1</v>
      </c>
      <c r="S25" s="92"/>
      <c r="T25" s="92">
        <v>21.643598615916954</v>
      </c>
      <c r="U25" s="92"/>
    </row>
    <row r="26" spans="2:28" ht="12.75" customHeight="1" x14ac:dyDescent="0.2">
      <c r="B26" s="48"/>
      <c r="C26" s="48"/>
      <c r="H26" s="3"/>
      <c r="I26" s="3"/>
      <c r="J26" s="94" t="s">
        <v>52</v>
      </c>
      <c r="K26" s="94" t="s">
        <v>51</v>
      </c>
      <c r="L26" s="94" t="s">
        <v>50</v>
      </c>
      <c r="M26" s="44"/>
      <c r="N26" s="93"/>
      <c r="O26" s="3"/>
      <c r="P26" s="1">
        <v>1</v>
      </c>
      <c r="S26" s="92"/>
      <c r="T26" s="92"/>
      <c r="U26" s="92"/>
    </row>
    <row r="27" spans="2:28" ht="14.1" customHeight="1" x14ac:dyDescent="0.2">
      <c r="B27" s="48"/>
      <c r="C27" s="48"/>
      <c r="D27" s="78"/>
      <c r="G27" s="78"/>
      <c r="J27" s="90" t="str">
        <f>C11</f>
        <v>334</v>
      </c>
      <c r="K27" s="88">
        <v>24.25</v>
      </c>
      <c r="L27" s="88">
        <v>16.59</v>
      </c>
      <c r="M27" s="44"/>
      <c r="N27" s="87"/>
      <c r="O27" s="78"/>
      <c r="P27" s="1">
        <v>1</v>
      </c>
    </row>
    <row r="28" spans="2:28" ht="14.1" customHeight="1" x14ac:dyDescent="0.2">
      <c r="B28" s="48"/>
      <c r="C28" s="86"/>
      <c r="D28" s="78"/>
      <c r="G28" s="78"/>
      <c r="J28" s="90" t="str">
        <f>C12</f>
        <v>35</v>
      </c>
      <c r="K28" s="88">
        <v>24.81</v>
      </c>
      <c r="L28" s="88">
        <v>16.79</v>
      </c>
      <c r="M28" s="44"/>
      <c r="N28" s="87"/>
      <c r="O28" s="78"/>
      <c r="P28" s="1">
        <v>1</v>
      </c>
    </row>
    <row r="29" spans="2:28" ht="14.1" customHeight="1" x14ac:dyDescent="0.2">
      <c r="B29" s="48"/>
      <c r="C29" s="86"/>
      <c r="D29" s="78"/>
      <c r="G29" s="78"/>
      <c r="J29" s="90" t="str">
        <f>C13</f>
        <v>36</v>
      </c>
      <c r="K29" s="88">
        <v>25.15</v>
      </c>
      <c r="L29" s="88">
        <v>16.93</v>
      </c>
      <c r="M29" s="44"/>
      <c r="N29" s="87"/>
      <c r="O29" s="78"/>
      <c r="P29" s="1">
        <v>1</v>
      </c>
    </row>
    <row r="30" spans="2:28" ht="14.1" customHeight="1" x14ac:dyDescent="0.2">
      <c r="B30" s="48"/>
      <c r="C30" s="86"/>
      <c r="D30" s="78"/>
      <c r="G30" s="78"/>
      <c r="J30" s="90" t="str">
        <f>C14</f>
        <v>378</v>
      </c>
      <c r="K30" s="88">
        <v>26.63</v>
      </c>
      <c r="L30" s="88">
        <v>17.89</v>
      </c>
      <c r="M30" s="44"/>
      <c r="N30" s="87"/>
      <c r="O30" s="78"/>
      <c r="P30" s="1">
        <v>1</v>
      </c>
    </row>
    <row r="31" spans="2:28" ht="14.1" customHeight="1" x14ac:dyDescent="0.2">
      <c r="B31" s="48"/>
      <c r="C31" s="86"/>
      <c r="D31" s="78"/>
      <c r="G31" s="78"/>
      <c r="J31" s="90" t="str">
        <f>C15</f>
        <v>39</v>
      </c>
      <c r="K31" s="88">
        <v>27.2</v>
      </c>
      <c r="L31" s="88">
        <v>18.09</v>
      </c>
      <c r="M31" s="44"/>
      <c r="N31" s="87"/>
      <c r="O31" s="78"/>
      <c r="P31" s="1">
        <v>1</v>
      </c>
    </row>
    <row r="32" spans="2:28" ht="14.1" customHeight="1" x14ac:dyDescent="0.2">
      <c r="B32" s="48"/>
      <c r="C32" s="86"/>
      <c r="D32" s="78"/>
      <c r="G32" s="78"/>
      <c r="J32" s="90" t="str">
        <f>C16</f>
        <v>40</v>
      </c>
      <c r="K32" s="88">
        <v>27.55</v>
      </c>
      <c r="L32" s="88">
        <v>18.239999999999998</v>
      </c>
      <c r="M32" s="44"/>
      <c r="N32" s="87"/>
      <c r="O32" s="78"/>
      <c r="P32" s="1">
        <v>1</v>
      </c>
    </row>
    <row r="33" spans="2:20" ht="14.1" customHeight="1" x14ac:dyDescent="0.2">
      <c r="B33" s="48"/>
      <c r="C33" s="86"/>
      <c r="D33" s="78"/>
      <c r="G33" s="78"/>
      <c r="J33" s="90" t="str">
        <f>C17</f>
        <v>41</v>
      </c>
      <c r="K33" s="88">
        <v>27.88</v>
      </c>
      <c r="L33" s="88">
        <v>18.39</v>
      </c>
      <c r="M33" s="44"/>
      <c r="N33" s="87"/>
      <c r="O33" s="78"/>
      <c r="P33" s="1">
        <v>1</v>
      </c>
    </row>
    <row r="34" spans="2:20" ht="14.1" customHeight="1" x14ac:dyDescent="0.2">
      <c r="B34" s="48"/>
      <c r="C34" s="86"/>
      <c r="D34" s="78"/>
      <c r="G34" s="78"/>
      <c r="J34" s="90" t="str">
        <f>C18</f>
        <v>42</v>
      </c>
      <c r="K34" s="88">
        <v>29.28</v>
      </c>
      <c r="L34" s="88">
        <v>19.350000000000001</v>
      </c>
      <c r="M34" s="44"/>
      <c r="N34" s="87"/>
      <c r="O34" s="78"/>
      <c r="P34" s="1">
        <v>1</v>
      </c>
    </row>
    <row r="35" spans="2:20" ht="14.1" customHeight="1" x14ac:dyDescent="0.2">
      <c r="B35" s="48"/>
      <c r="C35" s="86"/>
      <c r="D35" s="78"/>
      <c r="G35" s="78"/>
      <c r="J35" s="90" t="str">
        <f>C19</f>
        <v>434</v>
      </c>
      <c r="K35" s="88">
        <v>29.87</v>
      </c>
      <c r="L35" s="88">
        <v>19.559999999999999</v>
      </c>
      <c r="M35" s="44"/>
      <c r="N35" s="87"/>
      <c r="O35" s="78"/>
      <c r="P35" s="1">
        <v>1</v>
      </c>
      <c r="T35" s="91"/>
    </row>
    <row r="36" spans="2:20" ht="15.75" x14ac:dyDescent="0.2">
      <c r="B36" s="48"/>
      <c r="C36" s="86"/>
      <c r="D36" s="78"/>
      <c r="J36" s="90" t="str">
        <f>C20</f>
        <v>45</v>
      </c>
      <c r="K36" s="89">
        <v>30.4</v>
      </c>
      <c r="L36" s="88">
        <v>19.78</v>
      </c>
      <c r="M36" s="44"/>
      <c r="N36" s="87"/>
      <c r="O36" s="78"/>
      <c r="P36" s="1">
        <v>1</v>
      </c>
    </row>
    <row r="37" spans="2:20" x14ac:dyDescent="0.2">
      <c r="B37" s="48"/>
      <c r="C37" s="86"/>
      <c r="D37" s="78"/>
      <c r="G37" s="78"/>
      <c r="K37" s="1">
        <v>0</v>
      </c>
      <c r="L37" s="1">
        <v>0</v>
      </c>
      <c r="M37" s="44"/>
      <c r="N37" s="44"/>
      <c r="P37" s="1">
        <v>1</v>
      </c>
    </row>
    <row r="38" spans="2:20" ht="15" x14ac:dyDescent="0.25">
      <c r="B38" s="48"/>
      <c r="C38" s="86"/>
      <c r="D38" s="78"/>
      <c r="G38" s="78"/>
      <c r="H38" s="85"/>
      <c r="I38" s="85"/>
      <c r="M38" s="44"/>
      <c r="N38" s="44"/>
      <c r="P38" s="1">
        <v>1</v>
      </c>
    </row>
    <row r="39" spans="2:20" ht="9.75" customHeight="1" thickBot="1" x14ac:dyDescent="0.3">
      <c r="B39" s="48"/>
      <c r="C39" s="80"/>
      <c r="D39" s="78"/>
      <c r="F39" s="83"/>
      <c r="G39" s="84"/>
      <c r="J39" s="78"/>
      <c r="K39" s="83"/>
      <c r="L39" s="82"/>
      <c r="M39" s="81"/>
      <c r="N39" s="44"/>
      <c r="P39" s="1">
        <v>1</v>
      </c>
    </row>
    <row r="40" spans="2:20" ht="12" hidden="1" customHeight="1" thickBot="1" x14ac:dyDescent="0.3">
      <c r="B40" s="48"/>
      <c r="C40" s="80"/>
      <c r="D40" s="78"/>
      <c r="J40" s="79"/>
      <c r="K40" s="78"/>
      <c r="M40" s="44"/>
      <c r="N40" s="44"/>
      <c r="P40" s="1">
        <v>1</v>
      </c>
    </row>
    <row r="41" spans="2:20" ht="28.5" customHeight="1" thickBot="1" x14ac:dyDescent="0.35">
      <c r="B41" s="48"/>
      <c r="C41" s="77" t="s">
        <v>49</v>
      </c>
      <c r="D41" s="76"/>
      <c r="E41" s="76"/>
      <c r="F41" s="76"/>
      <c r="G41" s="76"/>
      <c r="H41" s="76"/>
      <c r="I41" s="76"/>
      <c r="J41" s="76"/>
      <c r="K41" s="76"/>
      <c r="L41" s="76"/>
      <c r="M41" s="75"/>
      <c r="N41" s="44"/>
      <c r="P41" s="1">
        <v>1</v>
      </c>
    </row>
    <row r="42" spans="2:20" ht="13.5" customHeight="1" thickBot="1" x14ac:dyDescent="0.25">
      <c r="B42" s="48"/>
      <c r="C42" s="74" t="s">
        <v>48</v>
      </c>
      <c r="D42" s="73" t="s">
        <v>47</v>
      </c>
      <c r="E42" s="73" t="s">
        <v>46</v>
      </c>
      <c r="F42" s="73" t="s">
        <v>45</v>
      </c>
      <c r="G42" s="73" t="s">
        <v>47</v>
      </c>
      <c r="H42" s="73" t="s">
        <v>46</v>
      </c>
      <c r="I42" s="73" t="s">
        <v>45</v>
      </c>
      <c r="J42" s="73" t="s">
        <v>47</v>
      </c>
      <c r="K42" s="73" t="s">
        <v>46</v>
      </c>
      <c r="L42" s="73" t="s">
        <v>45</v>
      </c>
      <c r="M42" s="72" t="s">
        <v>44</v>
      </c>
      <c r="N42" s="44"/>
      <c r="P42" s="1">
        <v>1</v>
      </c>
    </row>
    <row r="43" spans="2:20" ht="20.25" hidden="1" thickBot="1" x14ac:dyDescent="0.35">
      <c r="B43" s="48"/>
      <c r="C43" s="64"/>
      <c r="D43" s="62"/>
      <c r="E43" s="62"/>
      <c r="F43" s="62"/>
      <c r="G43" s="62"/>
      <c r="H43" s="62"/>
      <c r="I43" s="62"/>
      <c r="J43" s="62"/>
      <c r="K43" s="62"/>
      <c r="L43" s="62"/>
      <c r="M43" s="61"/>
      <c r="N43" s="44"/>
      <c r="P43" s="1">
        <v>1</v>
      </c>
    </row>
    <row r="44" spans="2:20" ht="17.25" hidden="1" customHeight="1" thickBot="1" x14ac:dyDescent="0.35">
      <c r="B44" s="48"/>
      <c r="C44" s="64"/>
      <c r="D44" s="62"/>
      <c r="E44" s="62"/>
      <c r="F44" s="62"/>
      <c r="G44" s="62"/>
      <c r="H44" s="62"/>
      <c r="I44" s="62"/>
      <c r="J44" s="62"/>
      <c r="K44" s="62"/>
      <c r="L44" s="62"/>
      <c r="M44" s="61"/>
      <c r="N44" s="44"/>
      <c r="P44" s="1">
        <v>1</v>
      </c>
    </row>
    <row r="45" spans="2:20" ht="17.25" customHeight="1" thickBot="1" x14ac:dyDescent="0.35">
      <c r="B45" s="48"/>
      <c r="C45" s="64" t="s">
        <v>43</v>
      </c>
      <c r="D45" s="62">
        <v>2</v>
      </c>
      <c r="E45" s="62">
        <v>45</v>
      </c>
      <c r="F45" s="62" t="s">
        <v>25</v>
      </c>
      <c r="G45" s="62">
        <v>3</v>
      </c>
      <c r="H45" s="62">
        <v>36</v>
      </c>
      <c r="I45" s="62" t="s">
        <v>25</v>
      </c>
      <c r="J45" s="62"/>
      <c r="K45" s="71">
        <f>D45*K36+G45*K29</f>
        <v>136.25</v>
      </c>
      <c r="L45" s="62"/>
      <c r="M45" s="61" t="s">
        <v>27</v>
      </c>
      <c r="N45" s="44"/>
      <c r="P45" s="1">
        <v>1</v>
      </c>
    </row>
    <row r="46" spans="2:20" ht="17.25" customHeight="1" thickBot="1" x14ac:dyDescent="0.35">
      <c r="B46" s="48"/>
      <c r="C46" s="64" t="s">
        <v>42</v>
      </c>
      <c r="D46" s="62">
        <v>4</v>
      </c>
      <c r="E46" s="62">
        <v>434</v>
      </c>
      <c r="F46" s="62" t="s">
        <v>25</v>
      </c>
      <c r="G46" s="62"/>
      <c r="H46" s="62"/>
      <c r="I46" s="62"/>
      <c r="J46" s="62"/>
      <c r="K46" s="62"/>
      <c r="L46" s="62"/>
      <c r="M46" s="61" t="s">
        <v>41</v>
      </c>
      <c r="N46" s="44"/>
      <c r="P46" s="1">
        <v>1</v>
      </c>
    </row>
    <row r="47" spans="2:20" ht="17.25" customHeight="1" thickBot="1" x14ac:dyDescent="0.35">
      <c r="B47" s="48"/>
      <c r="C47" s="64" t="s">
        <v>40</v>
      </c>
      <c r="D47" s="62">
        <v>3</v>
      </c>
      <c r="E47" s="62">
        <v>39</v>
      </c>
      <c r="F47" s="62" t="s">
        <v>25</v>
      </c>
      <c r="G47" s="62">
        <v>2</v>
      </c>
      <c r="H47" s="62">
        <v>41</v>
      </c>
      <c r="I47" s="62" t="s">
        <v>25</v>
      </c>
      <c r="J47" s="62"/>
      <c r="K47" s="62"/>
      <c r="L47" s="62"/>
      <c r="M47" s="61" t="s">
        <v>39</v>
      </c>
      <c r="N47" s="44"/>
      <c r="P47" s="1">
        <v>1</v>
      </c>
    </row>
    <row r="48" spans="2:20" ht="17.25" customHeight="1" thickBot="1" x14ac:dyDescent="0.35">
      <c r="B48" s="48"/>
      <c r="C48" s="64" t="s">
        <v>38</v>
      </c>
      <c r="D48" s="62">
        <v>2</v>
      </c>
      <c r="E48" s="62">
        <v>378</v>
      </c>
      <c r="F48" s="62" t="s">
        <v>25</v>
      </c>
      <c r="G48" s="62">
        <v>3</v>
      </c>
      <c r="H48" s="62">
        <v>40</v>
      </c>
      <c r="I48" s="62" t="s">
        <v>25</v>
      </c>
      <c r="J48" s="62"/>
      <c r="K48" s="62"/>
      <c r="L48" s="62"/>
      <c r="M48" s="61" t="s">
        <v>37</v>
      </c>
      <c r="N48" s="44"/>
      <c r="P48" s="1">
        <v>1</v>
      </c>
    </row>
    <row r="49" spans="2:148" ht="17.25" customHeight="1" thickBot="1" x14ac:dyDescent="0.35">
      <c r="B49" s="48"/>
      <c r="C49" s="64" t="s">
        <v>36</v>
      </c>
      <c r="D49" s="62">
        <v>5</v>
      </c>
      <c r="E49" s="62">
        <v>40</v>
      </c>
      <c r="F49" s="62" t="s">
        <v>25</v>
      </c>
      <c r="G49" s="62"/>
      <c r="H49" s="62"/>
      <c r="I49" s="62"/>
      <c r="J49" s="62"/>
      <c r="K49" s="62"/>
      <c r="L49" s="62"/>
      <c r="M49" s="61" t="s">
        <v>35</v>
      </c>
      <c r="N49" s="44"/>
      <c r="P49" s="1">
        <v>1</v>
      </c>
    </row>
    <row r="50" spans="2:148" ht="17.25" customHeight="1" thickBot="1" x14ac:dyDescent="0.35">
      <c r="B50" s="48"/>
      <c r="C50" s="64" t="s">
        <v>34</v>
      </c>
      <c r="D50" s="62">
        <v>1</v>
      </c>
      <c r="E50" s="62">
        <v>36</v>
      </c>
      <c r="F50" s="62" t="s">
        <v>25</v>
      </c>
      <c r="G50" s="62">
        <v>4</v>
      </c>
      <c r="H50" s="62">
        <v>41</v>
      </c>
      <c r="I50" s="62" t="s">
        <v>25</v>
      </c>
      <c r="J50" s="62"/>
      <c r="K50" s="62"/>
      <c r="L50" s="62"/>
      <c r="M50" s="61" t="s">
        <v>33</v>
      </c>
      <c r="N50" s="44"/>
      <c r="P50" s="1">
        <v>1</v>
      </c>
    </row>
    <row r="51" spans="2:148" s="65" customFormat="1" ht="17.25" customHeight="1" thickBot="1" x14ac:dyDescent="0.35">
      <c r="B51" s="70"/>
      <c r="C51" s="69" t="s">
        <v>32</v>
      </c>
      <c r="D51" s="68">
        <v>4</v>
      </c>
      <c r="E51" s="68">
        <v>41</v>
      </c>
      <c r="F51" s="68" t="s">
        <v>25</v>
      </c>
      <c r="G51" s="68"/>
      <c r="H51" s="68"/>
      <c r="I51" s="68"/>
      <c r="J51" s="68"/>
      <c r="K51" s="68"/>
      <c r="L51" s="68"/>
      <c r="M51" s="67" t="s">
        <v>31</v>
      </c>
      <c r="N51" s="66"/>
      <c r="P51" s="65">
        <v>1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</row>
    <row r="52" spans="2:148" ht="20.25" thickBot="1" x14ac:dyDescent="0.35">
      <c r="B52" s="48"/>
      <c r="C52" s="64" t="s">
        <v>30</v>
      </c>
      <c r="D52" s="63">
        <v>2</v>
      </c>
      <c r="E52" s="63">
        <v>35</v>
      </c>
      <c r="F52" s="63" t="s">
        <v>25</v>
      </c>
      <c r="G52" s="63">
        <v>3</v>
      </c>
      <c r="H52" s="62">
        <v>42</v>
      </c>
      <c r="I52" s="62" t="s">
        <v>25</v>
      </c>
      <c r="J52" s="62"/>
      <c r="K52" s="62"/>
      <c r="L52" s="62"/>
      <c r="M52" s="61" t="s">
        <v>29</v>
      </c>
      <c r="N52" s="44"/>
      <c r="P52" s="1">
        <v>1</v>
      </c>
    </row>
    <row r="53" spans="2:148" ht="20.25" thickBot="1" x14ac:dyDescent="0.35">
      <c r="B53" s="48"/>
      <c r="C53" s="64" t="s">
        <v>28</v>
      </c>
      <c r="D53" s="63">
        <v>2</v>
      </c>
      <c r="E53" s="63">
        <v>334</v>
      </c>
      <c r="F53" s="63" t="s">
        <v>25</v>
      </c>
      <c r="G53" s="63">
        <v>3</v>
      </c>
      <c r="H53" s="62">
        <v>42</v>
      </c>
      <c r="I53" s="62" t="s">
        <v>25</v>
      </c>
      <c r="J53" s="62"/>
      <c r="K53" s="62"/>
      <c r="L53" s="62"/>
      <c r="M53" s="61" t="s">
        <v>27</v>
      </c>
      <c r="N53" s="44"/>
      <c r="P53" s="1">
        <v>1</v>
      </c>
    </row>
    <row r="54" spans="2:148" ht="20.25" thickBot="1" x14ac:dyDescent="0.35">
      <c r="B54" s="48"/>
      <c r="C54" s="64" t="s">
        <v>26</v>
      </c>
      <c r="D54" s="63">
        <v>4</v>
      </c>
      <c r="E54" s="63">
        <v>42</v>
      </c>
      <c r="F54" s="63" t="s">
        <v>25</v>
      </c>
      <c r="G54" s="63"/>
      <c r="H54" s="62"/>
      <c r="I54" s="62"/>
      <c r="J54" s="62"/>
      <c r="K54" s="62"/>
      <c r="L54" s="62"/>
      <c r="M54" s="61" t="s">
        <v>24</v>
      </c>
      <c r="N54" s="44"/>
      <c r="P54" s="1">
        <v>1</v>
      </c>
    </row>
    <row r="55" spans="2:148" ht="12.75" customHeight="1" x14ac:dyDescent="0.2">
      <c r="B55" s="48"/>
      <c r="C55" s="60" t="s">
        <v>23</v>
      </c>
      <c r="D55" s="59"/>
      <c r="E55" s="59"/>
      <c r="F55" s="59"/>
      <c r="G55" s="59"/>
      <c r="H55" s="59"/>
      <c r="I55" s="59"/>
      <c r="J55" s="59"/>
      <c r="K55" s="59"/>
      <c r="L55" s="59"/>
      <c r="M55" s="58"/>
      <c r="N55" s="44"/>
      <c r="P55" s="1">
        <v>1</v>
      </c>
    </row>
    <row r="56" spans="2:148" ht="12.75" customHeight="1" x14ac:dyDescent="0.2">
      <c r="B56" s="48"/>
      <c r="C56" s="60"/>
      <c r="D56" s="59"/>
      <c r="E56" s="59"/>
      <c r="F56" s="59"/>
      <c r="G56" s="59"/>
      <c r="H56" s="59"/>
      <c r="I56" s="59"/>
      <c r="J56" s="59"/>
      <c r="K56" s="59"/>
      <c r="L56" s="59"/>
      <c r="M56" s="58"/>
      <c r="N56" s="44"/>
      <c r="P56" s="1">
        <v>1</v>
      </c>
    </row>
    <row r="57" spans="2:148" ht="12.75" customHeight="1" x14ac:dyDescent="0.2">
      <c r="B57" s="48"/>
      <c r="C57" s="60"/>
      <c r="D57" s="59"/>
      <c r="E57" s="59"/>
      <c r="F57" s="59"/>
      <c r="G57" s="59"/>
      <c r="H57" s="59"/>
      <c r="I57" s="59"/>
      <c r="J57" s="59"/>
      <c r="K57" s="59"/>
      <c r="L57" s="59"/>
      <c r="M57" s="58"/>
      <c r="N57" s="44"/>
      <c r="P57" s="1">
        <v>1</v>
      </c>
    </row>
    <row r="58" spans="2:148" ht="12.75" customHeight="1" x14ac:dyDescent="0.2">
      <c r="B58" s="48"/>
      <c r="C58" s="60"/>
      <c r="D58" s="59"/>
      <c r="E58" s="59"/>
      <c r="F58" s="59"/>
      <c r="G58" s="59"/>
      <c r="H58" s="59"/>
      <c r="I58" s="59"/>
      <c r="J58" s="59"/>
      <c r="K58" s="59"/>
      <c r="L58" s="59"/>
      <c r="M58" s="58"/>
      <c r="N58" s="44"/>
      <c r="P58" s="1">
        <v>1</v>
      </c>
    </row>
    <row r="59" spans="2:148" ht="12.75" customHeight="1" x14ac:dyDescent="0.2">
      <c r="B59" s="48"/>
      <c r="C59" s="60"/>
      <c r="D59" s="59"/>
      <c r="E59" s="59"/>
      <c r="F59" s="59"/>
      <c r="G59" s="59"/>
      <c r="H59" s="59"/>
      <c r="I59" s="59"/>
      <c r="J59" s="59"/>
      <c r="K59" s="59"/>
      <c r="L59" s="59"/>
      <c r="M59" s="58"/>
      <c r="N59" s="44"/>
      <c r="P59" s="1">
        <v>1</v>
      </c>
    </row>
    <row r="60" spans="2:148" ht="12.75" customHeight="1" x14ac:dyDescent="0.2">
      <c r="B60" s="48"/>
      <c r="C60" s="57" t="s">
        <v>22</v>
      </c>
      <c r="D60" s="56"/>
      <c r="E60" s="56"/>
      <c r="F60" s="56"/>
      <c r="G60" s="56"/>
      <c r="H60" s="56"/>
      <c r="I60" s="56"/>
      <c r="J60" s="56"/>
      <c r="K60" s="56"/>
      <c r="L60" s="56"/>
      <c r="M60" s="55"/>
      <c r="N60" s="44"/>
      <c r="P60" s="1">
        <v>1</v>
      </c>
    </row>
    <row r="61" spans="2:148" ht="12.75" customHeight="1" x14ac:dyDescent="0.2">
      <c r="B61" s="48"/>
      <c r="C61" s="57"/>
      <c r="D61" s="56"/>
      <c r="E61" s="56"/>
      <c r="F61" s="56"/>
      <c r="G61" s="56"/>
      <c r="H61" s="56"/>
      <c r="I61" s="56"/>
      <c r="J61" s="56"/>
      <c r="K61" s="56"/>
      <c r="L61" s="56"/>
      <c r="M61" s="55"/>
      <c r="N61" s="44"/>
      <c r="P61" s="1">
        <v>1</v>
      </c>
    </row>
    <row r="62" spans="2:148" ht="12.75" customHeight="1" x14ac:dyDescent="0.2">
      <c r="B62" s="48"/>
      <c r="C62" s="57"/>
      <c r="D62" s="56"/>
      <c r="E62" s="56"/>
      <c r="F62" s="56"/>
      <c r="G62" s="56"/>
      <c r="H62" s="56"/>
      <c r="I62" s="56"/>
      <c r="J62" s="56"/>
      <c r="K62" s="56"/>
      <c r="L62" s="56"/>
      <c r="M62" s="55"/>
      <c r="N62" s="44"/>
      <c r="P62" s="1">
        <v>1</v>
      </c>
    </row>
    <row r="63" spans="2:148" ht="23.25" x14ac:dyDescent="0.35">
      <c r="B63" s="48"/>
      <c r="C63" s="54"/>
      <c r="D63" s="53"/>
      <c r="E63" s="53"/>
      <c r="F63" s="53"/>
      <c r="G63" s="53"/>
      <c r="H63" s="53"/>
      <c r="I63" s="53"/>
      <c r="J63" s="53"/>
      <c r="K63" s="53"/>
      <c r="L63" s="53"/>
      <c r="M63" s="52"/>
      <c r="N63" s="44"/>
      <c r="P63" s="1">
        <v>1</v>
      </c>
    </row>
    <row r="64" spans="2:148" x14ac:dyDescent="0.2">
      <c r="B64" s="48"/>
      <c r="C64" s="51" t="s">
        <v>21</v>
      </c>
      <c r="D64" s="50"/>
      <c r="E64" s="50"/>
      <c r="F64" s="50"/>
      <c r="G64" s="50"/>
      <c r="H64" s="50"/>
      <c r="I64" s="50"/>
      <c r="J64" s="50"/>
      <c r="K64" s="50"/>
      <c r="L64" s="50"/>
      <c r="M64" s="49"/>
      <c r="N64" s="44"/>
      <c r="P64" s="1">
        <v>1</v>
      </c>
    </row>
    <row r="65" spans="2:16" ht="13.5" thickBot="1" x14ac:dyDescent="0.25">
      <c r="B65" s="48"/>
      <c r="C65" s="47" t="s">
        <v>20</v>
      </c>
      <c r="D65" s="46"/>
      <c r="E65" s="46"/>
      <c r="F65" s="46"/>
      <c r="G65" s="46"/>
      <c r="H65" s="46"/>
      <c r="I65" s="46"/>
      <c r="J65" s="46"/>
      <c r="K65" s="46"/>
      <c r="L65" s="46"/>
      <c r="M65" s="45"/>
      <c r="N65" s="44"/>
      <c r="P65" s="1">
        <v>1</v>
      </c>
    </row>
    <row r="66" spans="2:16" ht="13.5" thickBot="1" x14ac:dyDescent="0.25">
      <c r="B66" s="43"/>
      <c r="C66" s="42"/>
      <c r="D66" s="42"/>
      <c r="E66" s="42"/>
      <c r="F66" s="42" t="s">
        <v>19</v>
      </c>
      <c r="G66" s="42"/>
      <c r="H66" s="42"/>
      <c r="I66" s="42" t="s">
        <v>18</v>
      </c>
      <c r="J66" s="42" t="s">
        <v>17</v>
      </c>
      <c r="K66" s="42"/>
      <c r="L66" s="42"/>
      <c r="M66" s="42"/>
      <c r="N66" s="41"/>
      <c r="P66" s="1">
        <v>1</v>
      </c>
    </row>
    <row r="68" spans="2:16" x14ac:dyDescent="0.2">
      <c r="B68" s="33" t="s">
        <v>16</v>
      </c>
      <c r="C68" s="40" t="s">
        <v>15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8"/>
    </row>
    <row r="69" spans="2:16" x14ac:dyDescent="0.2">
      <c r="C69" s="37" t="s">
        <v>14</v>
      </c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5"/>
    </row>
    <row r="71" spans="2:16" x14ac:dyDescent="0.2">
      <c r="C71" s="33" t="s">
        <v>13</v>
      </c>
      <c r="D71" s="34">
        <v>0</v>
      </c>
      <c r="F71" s="33">
        <v>0</v>
      </c>
    </row>
    <row r="72" spans="2:16" x14ac:dyDescent="0.2">
      <c r="D72" s="1" t="s">
        <v>0</v>
      </c>
    </row>
    <row r="73" spans="2:16" ht="15" x14ac:dyDescent="0.25">
      <c r="C73" s="31" t="s">
        <v>12</v>
      </c>
      <c r="D73" s="32" t="s">
        <v>11</v>
      </c>
      <c r="E73" s="31" t="s">
        <v>9</v>
      </c>
      <c r="F73" s="30" t="s">
        <v>10</v>
      </c>
      <c r="G73" s="27" t="s">
        <v>8</v>
      </c>
      <c r="H73" s="29"/>
      <c r="I73" s="17" t="s">
        <v>9</v>
      </c>
      <c r="J73" s="27" t="s">
        <v>8</v>
      </c>
      <c r="K73" s="28"/>
      <c r="L73" s="17" t="s">
        <v>7</v>
      </c>
      <c r="M73" s="27"/>
    </row>
    <row r="74" spans="2:16" ht="15" x14ac:dyDescent="0.25">
      <c r="C74" s="26" t="s">
        <v>6</v>
      </c>
      <c r="D74" s="25" t="s">
        <v>0</v>
      </c>
      <c r="E74" s="24">
        <v>28.32</v>
      </c>
      <c r="F74" s="23">
        <v>3.5310734463276837E-2</v>
      </c>
      <c r="G74" s="22">
        <v>0.38100282485875703</v>
      </c>
      <c r="H74" s="21">
        <v>10.79</v>
      </c>
      <c r="I74" s="24"/>
      <c r="J74" s="19"/>
      <c r="K74" s="18"/>
      <c r="L74" s="17"/>
      <c r="M74" s="16">
        <v>0</v>
      </c>
    </row>
    <row r="75" spans="2:16" ht="15" x14ac:dyDescent="0.25">
      <c r="C75" s="26" t="s">
        <v>5</v>
      </c>
      <c r="D75" s="25">
        <v>1</v>
      </c>
      <c r="E75" s="24">
        <v>27.32</v>
      </c>
      <c r="F75" s="23">
        <v>3.6603221083455345E-2</v>
      </c>
      <c r="G75" s="22">
        <v>0.61932650073206452</v>
      </c>
      <c r="H75" s="21">
        <v>16.920000000000002</v>
      </c>
      <c r="I75" s="24"/>
      <c r="J75" s="19"/>
      <c r="K75" s="18"/>
      <c r="L75" s="17"/>
      <c r="M75" s="16">
        <v>0</v>
      </c>
    </row>
    <row r="76" spans="2:16" ht="15" x14ac:dyDescent="0.25">
      <c r="C76" s="26" t="s">
        <v>4</v>
      </c>
      <c r="D76" s="25">
        <v>1</v>
      </c>
      <c r="E76" s="24">
        <v>26.87</v>
      </c>
      <c r="F76" s="23">
        <v>3.7216226274655748E-2</v>
      </c>
      <c r="G76" s="22">
        <v>0.85225158168961657</v>
      </c>
      <c r="H76" s="21">
        <v>22.9</v>
      </c>
      <c r="I76" s="24"/>
      <c r="J76" s="19"/>
      <c r="K76" s="18"/>
      <c r="L76" s="17"/>
      <c r="M76" s="16">
        <v>0</v>
      </c>
    </row>
    <row r="77" spans="2:16" ht="15" x14ac:dyDescent="0.25">
      <c r="C77" s="26" t="s">
        <v>3</v>
      </c>
      <c r="D77" s="25">
        <v>1</v>
      </c>
      <c r="E77" s="24">
        <v>21.26</v>
      </c>
      <c r="F77" s="23">
        <v>4.7036688617121354E-2</v>
      </c>
      <c r="G77" s="22">
        <v>1.0075258701787395</v>
      </c>
      <c r="H77" s="21">
        <v>21.42</v>
      </c>
      <c r="I77" s="24"/>
      <c r="J77" s="19"/>
      <c r="K77" s="18"/>
      <c r="L77" s="17"/>
      <c r="M77" s="16">
        <v>0</v>
      </c>
    </row>
    <row r="78" spans="2:16" ht="15" x14ac:dyDescent="0.25">
      <c r="C78" s="26" t="s">
        <v>2</v>
      </c>
      <c r="D78" s="25">
        <v>1</v>
      </c>
      <c r="E78" s="24">
        <v>20.82</v>
      </c>
      <c r="F78" s="23">
        <v>4.8030739673390971E-2</v>
      </c>
      <c r="G78" s="22">
        <v>0.84918347742555234</v>
      </c>
      <c r="H78" s="21">
        <v>17.68</v>
      </c>
      <c r="I78" s="24"/>
      <c r="J78" s="19"/>
      <c r="K78" s="18"/>
      <c r="L78" s="17"/>
      <c r="M78" s="16">
        <v>0</v>
      </c>
    </row>
    <row r="79" spans="2:16" ht="15" x14ac:dyDescent="0.25">
      <c r="C79" s="26" t="s">
        <v>1</v>
      </c>
      <c r="D79" s="25">
        <v>1</v>
      </c>
      <c r="E79" s="24">
        <v>20.27</v>
      </c>
      <c r="F79" s="23">
        <v>4.9333991119881598E-2</v>
      </c>
      <c r="G79" s="22">
        <v>0.5076467686235816</v>
      </c>
      <c r="H79" s="21">
        <v>10.29</v>
      </c>
      <c r="I79" s="24"/>
      <c r="J79" s="19"/>
      <c r="K79" s="18"/>
      <c r="L79" s="17"/>
      <c r="M79" s="16">
        <v>0</v>
      </c>
    </row>
    <row r="80" spans="2:16" ht="15" x14ac:dyDescent="0.25">
      <c r="C80" s="26">
        <v>0</v>
      </c>
      <c r="D80" s="25">
        <v>0</v>
      </c>
      <c r="E80" s="24">
        <v>0</v>
      </c>
      <c r="F80" s="23">
        <v>0</v>
      </c>
      <c r="G80" s="22">
        <v>0</v>
      </c>
      <c r="H80" s="21">
        <v>0</v>
      </c>
      <c r="I80" s="24"/>
      <c r="J80" s="19"/>
      <c r="K80" s="18"/>
      <c r="L80" s="17"/>
      <c r="M80" s="16">
        <v>0</v>
      </c>
    </row>
    <row r="81" spans="3:13" ht="15" x14ac:dyDescent="0.25">
      <c r="C81" s="26">
        <v>0</v>
      </c>
      <c r="D81" s="25">
        <v>0</v>
      </c>
      <c r="E81" s="24">
        <v>0</v>
      </c>
      <c r="F81" s="23">
        <v>0</v>
      </c>
      <c r="G81" s="22">
        <v>0</v>
      </c>
      <c r="H81" s="21">
        <v>0</v>
      </c>
      <c r="I81" s="24"/>
      <c r="J81" s="19"/>
      <c r="K81" s="18"/>
      <c r="L81" s="17"/>
      <c r="M81" s="16">
        <v>0</v>
      </c>
    </row>
    <row r="82" spans="3:13" ht="15" x14ac:dyDescent="0.25">
      <c r="C82" s="26">
        <v>0</v>
      </c>
      <c r="D82" s="25">
        <v>0</v>
      </c>
      <c r="E82" s="24">
        <v>0</v>
      </c>
      <c r="F82" s="23">
        <v>0</v>
      </c>
      <c r="G82" s="22">
        <v>0</v>
      </c>
      <c r="H82" s="21">
        <v>0</v>
      </c>
      <c r="I82" s="20"/>
      <c r="J82" s="19"/>
      <c r="K82" s="18"/>
      <c r="L82" s="17"/>
      <c r="M82" s="16">
        <v>0</v>
      </c>
    </row>
    <row r="83" spans="3:13" ht="15" x14ac:dyDescent="0.25">
      <c r="C83" s="26">
        <v>0</v>
      </c>
      <c r="D83" s="25"/>
      <c r="E83" s="24">
        <v>0</v>
      </c>
      <c r="F83" s="23">
        <v>0</v>
      </c>
      <c r="G83" s="22">
        <v>0</v>
      </c>
      <c r="H83" s="21">
        <v>0</v>
      </c>
      <c r="I83" s="20"/>
      <c r="J83" s="19"/>
      <c r="K83" s="18"/>
      <c r="L83" s="17"/>
      <c r="M83" s="16">
        <v>0</v>
      </c>
    </row>
    <row r="84" spans="3:13" ht="15" x14ac:dyDescent="0.25">
      <c r="C84" s="26">
        <v>0</v>
      </c>
      <c r="D84" s="25" t="s">
        <v>0</v>
      </c>
      <c r="E84" s="24">
        <v>0</v>
      </c>
      <c r="F84" s="23">
        <v>0</v>
      </c>
      <c r="G84" s="22">
        <v>0</v>
      </c>
      <c r="H84" s="21">
        <v>0</v>
      </c>
      <c r="I84" s="20"/>
      <c r="J84" s="19"/>
      <c r="K84" s="18"/>
      <c r="L84" s="17"/>
      <c r="M84" s="16">
        <v>0</v>
      </c>
    </row>
    <row r="85" spans="3:13" ht="15" x14ac:dyDescent="0.25">
      <c r="C85" s="15"/>
      <c r="D85" s="11"/>
      <c r="E85" s="14"/>
      <c r="F85" s="14"/>
      <c r="G85" s="11">
        <v>4.2169370235083123</v>
      </c>
      <c r="H85" s="14"/>
      <c r="I85" s="11"/>
      <c r="J85" s="13"/>
      <c r="K85" s="12"/>
      <c r="L85" s="11"/>
      <c r="M85" s="10">
        <v>0</v>
      </c>
    </row>
    <row r="86" spans="3:13" ht="15.75" thickBot="1" x14ac:dyDescent="0.3">
      <c r="C86" s="9"/>
      <c r="D86" s="8"/>
      <c r="E86" s="6">
        <v>23.713894573840292</v>
      </c>
      <c r="F86" s="6"/>
      <c r="G86" s="7"/>
      <c r="H86" s="5"/>
      <c r="I86" s="6"/>
      <c r="J86" s="5"/>
      <c r="K86" s="4"/>
      <c r="L86" s="3"/>
      <c r="M86" s="3"/>
    </row>
    <row r="414" spans="59:59" x14ac:dyDescent="0.2">
      <c r="BG414" s="2"/>
    </row>
  </sheetData>
  <autoFilter ref="P9:P44" xr:uid="{00000000-0009-0000-0000-000008000000}">
    <filterColumn colId="0">
      <filters>
        <filter val="1"/>
      </filters>
    </filterColumn>
  </autoFilter>
  <mergeCells count="19">
    <mergeCell ref="C63:M63"/>
    <mergeCell ref="C64:M64"/>
    <mergeCell ref="H11:J12"/>
    <mergeCell ref="K11:M12"/>
    <mergeCell ref="C3:E7"/>
    <mergeCell ref="L8:M8"/>
    <mergeCell ref="F9:G9"/>
    <mergeCell ref="H9:J9"/>
    <mergeCell ref="K9:M9"/>
    <mergeCell ref="C65:M65"/>
    <mergeCell ref="H13:M13"/>
    <mergeCell ref="H14:M16"/>
    <mergeCell ref="H17:M17"/>
    <mergeCell ref="H18:M21"/>
    <mergeCell ref="C23:M23"/>
    <mergeCell ref="J25:L25"/>
    <mergeCell ref="C41:M41"/>
    <mergeCell ref="C55:M59"/>
    <mergeCell ref="C60:M6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2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2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83FC9-6CFA-4212-BF1E-30432AAA085D}">
  <sheetPr codeName="PLAN18" filterMode="1"/>
  <dimension ref="B1:ER414"/>
  <sheetViews>
    <sheetView showGridLines="0" showZeros="0" zoomScale="85" zoomScaleNormal="85" zoomScaleSheetLayoutView="70" workbookViewId="0">
      <selection activeCell="F11" sqref="F11:F20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33" ht="36" customHeight="1" thickBot="1" x14ac:dyDescent="0.25"/>
    <row r="2" spans="2:33" ht="4.5" customHeight="1" x14ac:dyDescent="0.2">
      <c r="B2" s="159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90"/>
    </row>
    <row r="3" spans="2:33" ht="38.25" customHeight="1" x14ac:dyDescent="0.2">
      <c r="B3" s="48"/>
      <c r="C3" s="189" t="s">
        <v>92</v>
      </c>
      <c r="D3" s="188"/>
      <c r="E3" s="187"/>
      <c r="F3" s="186" t="s">
        <v>91</v>
      </c>
      <c r="G3" s="186"/>
      <c r="H3" s="185"/>
      <c r="I3" s="185"/>
      <c r="J3" s="184"/>
      <c r="K3" s="184"/>
      <c r="L3" s="184"/>
      <c r="M3" s="184"/>
      <c r="N3" s="44"/>
    </row>
    <row r="4" spans="2:33" ht="21.95" customHeight="1" x14ac:dyDescent="0.2">
      <c r="B4" s="48"/>
      <c r="C4" s="177"/>
      <c r="D4" s="176"/>
      <c r="E4" s="175"/>
      <c r="F4" s="182" t="s">
        <v>90</v>
      </c>
      <c r="G4" s="181"/>
      <c r="H4" s="180"/>
      <c r="K4" s="179" t="s">
        <v>89</v>
      </c>
      <c r="L4" s="178"/>
      <c r="N4" s="44"/>
    </row>
    <row r="5" spans="2:33" ht="21.95" customHeight="1" x14ac:dyDescent="0.2">
      <c r="B5" s="48"/>
      <c r="C5" s="177"/>
      <c r="D5" s="176"/>
      <c r="E5" s="175"/>
      <c r="F5" s="174"/>
      <c r="G5" s="181"/>
      <c r="H5" s="183"/>
      <c r="K5" s="179" t="s">
        <v>88</v>
      </c>
      <c r="L5" s="178"/>
      <c r="N5" s="44"/>
      <c r="AC5" s="92"/>
      <c r="AD5" s="92"/>
      <c r="AE5" s="92"/>
      <c r="AF5" s="92"/>
      <c r="AG5" s="92"/>
    </row>
    <row r="6" spans="2:33" ht="21.95" customHeight="1" x14ac:dyDescent="0.2">
      <c r="B6" s="48"/>
      <c r="C6" s="177"/>
      <c r="D6" s="176"/>
      <c r="E6" s="175"/>
      <c r="F6" s="182"/>
      <c r="G6" s="181"/>
      <c r="H6" s="180"/>
      <c r="K6" s="179" t="s">
        <v>87</v>
      </c>
      <c r="L6" s="178"/>
      <c r="N6" s="44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92"/>
      <c r="AD6" s="92"/>
      <c r="AE6" s="92"/>
      <c r="AF6" s="92"/>
      <c r="AG6" s="92"/>
    </row>
    <row r="7" spans="2:33" ht="21.95" customHeight="1" x14ac:dyDescent="0.2">
      <c r="B7" s="48"/>
      <c r="C7" s="177"/>
      <c r="D7" s="176"/>
      <c r="E7" s="175"/>
      <c r="F7" s="174"/>
      <c r="G7" s="173" t="s">
        <v>86</v>
      </c>
      <c r="H7" s="172"/>
      <c r="N7" s="44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92"/>
      <c r="AD7" s="92">
        <v>4</v>
      </c>
      <c r="AE7" s="92"/>
      <c r="AF7" s="92"/>
      <c r="AG7" s="92">
        <v>3.7567567567567566</v>
      </c>
    </row>
    <row r="8" spans="2:33" ht="11.25" customHeight="1" thickBot="1" x14ac:dyDescent="0.25">
      <c r="B8" s="48"/>
      <c r="C8" s="115"/>
      <c r="D8" s="42"/>
      <c r="E8" s="113"/>
      <c r="F8" s="42"/>
      <c r="G8" s="171" t="s">
        <v>85</v>
      </c>
      <c r="H8" s="170">
        <v>44354.544166666667</v>
      </c>
      <c r="I8" s="42"/>
      <c r="J8" s="169"/>
      <c r="K8" s="168"/>
      <c r="L8" s="167"/>
      <c r="M8" s="167"/>
      <c r="N8" s="44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92"/>
      <c r="AD8" s="92">
        <v>5.6818181818181817</v>
      </c>
      <c r="AE8" s="92"/>
      <c r="AF8" s="92"/>
      <c r="AG8" s="92">
        <v>5.2631578947368425</v>
      </c>
    </row>
    <row r="9" spans="2:33" ht="15.75" thickBot="1" x14ac:dyDescent="0.25">
      <c r="B9" s="48"/>
      <c r="C9" s="166" t="s">
        <v>84</v>
      </c>
      <c r="D9" s="165" t="s">
        <v>83</v>
      </c>
      <c r="E9" s="165" t="s">
        <v>82</v>
      </c>
      <c r="F9" s="135" t="s">
        <v>81</v>
      </c>
      <c r="G9" s="133"/>
      <c r="H9" s="135" t="s">
        <v>80</v>
      </c>
      <c r="I9" s="134"/>
      <c r="J9" s="133"/>
      <c r="K9" s="135" t="s">
        <v>79</v>
      </c>
      <c r="L9" s="134"/>
      <c r="M9" s="133"/>
      <c r="N9" s="44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92"/>
      <c r="AD9" s="92">
        <v>20.227272727272727</v>
      </c>
      <c r="AE9" s="92"/>
      <c r="AF9" s="92"/>
      <c r="AG9" s="92">
        <v>17.795163584637269</v>
      </c>
    </row>
    <row r="10" spans="2:33" ht="6.75" customHeight="1" x14ac:dyDescent="0.2">
      <c r="B10" s="48"/>
      <c r="C10" s="118"/>
      <c r="D10" s="164"/>
      <c r="E10" s="163"/>
      <c r="F10" s="162"/>
      <c r="G10" s="157"/>
      <c r="H10" s="161"/>
      <c r="I10" s="160"/>
      <c r="J10" s="160"/>
      <c r="K10" s="159"/>
      <c r="L10" s="158"/>
      <c r="M10" s="157"/>
      <c r="N10" s="44"/>
      <c r="P10" s="1">
        <v>1</v>
      </c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92"/>
      <c r="AD10" s="92"/>
      <c r="AE10" s="92"/>
      <c r="AF10" s="92"/>
      <c r="AG10" s="92"/>
    </row>
    <row r="11" spans="2:33" ht="15" customHeight="1" x14ac:dyDescent="0.2">
      <c r="B11" s="48"/>
      <c r="C11" s="125" t="s">
        <v>78</v>
      </c>
      <c r="D11" s="124">
        <v>1</v>
      </c>
      <c r="E11" s="124" t="s">
        <v>77</v>
      </c>
      <c r="F11" s="129">
        <v>38.9</v>
      </c>
      <c r="G11" s="136"/>
      <c r="H11" s="156" t="s">
        <v>101</v>
      </c>
      <c r="I11" s="155"/>
      <c r="J11" s="155"/>
      <c r="K11" s="154" t="s">
        <v>75</v>
      </c>
      <c r="L11" s="153"/>
      <c r="M11" s="152"/>
      <c r="N11" s="44"/>
      <c r="P11" s="1">
        <v>1</v>
      </c>
      <c r="S11" s="109"/>
      <c r="T11" s="109"/>
      <c r="U11" s="109"/>
      <c r="V11" s="109"/>
      <c r="W11" s="109"/>
      <c r="X11" s="109"/>
      <c r="Y11" s="109"/>
      <c r="Z11" s="109"/>
      <c r="AA11" s="109"/>
      <c r="AC11" s="92"/>
      <c r="AD11" s="92"/>
      <c r="AE11" s="92"/>
      <c r="AF11" s="92"/>
      <c r="AG11" s="92"/>
    </row>
    <row r="12" spans="2:33" ht="15" customHeight="1" thickBot="1" x14ac:dyDescent="0.25">
      <c r="B12" s="48"/>
      <c r="C12" s="125" t="s">
        <v>74</v>
      </c>
      <c r="D12" s="124">
        <v>1</v>
      </c>
      <c r="E12" s="124" t="s">
        <v>73</v>
      </c>
      <c r="F12" s="129">
        <v>37.08</v>
      </c>
      <c r="G12" s="136"/>
      <c r="H12" s="151"/>
      <c r="I12" s="150"/>
      <c r="J12" s="150"/>
      <c r="K12" s="149"/>
      <c r="L12" s="148"/>
      <c r="M12" s="147"/>
      <c r="N12" s="44"/>
      <c r="P12" s="1">
        <v>1</v>
      </c>
      <c r="S12" s="109"/>
      <c r="T12" s="109"/>
      <c r="U12" s="109"/>
      <c r="V12" s="109"/>
      <c r="W12" s="109"/>
      <c r="X12" s="109"/>
      <c r="Y12" s="109"/>
      <c r="Z12" s="109"/>
      <c r="AA12" s="109"/>
      <c r="AB12" s="146"/>
    </row>
    <row r="13" spans="2:33" ht="15" customHeight="1" thickBot="1" x14ac:dyDescent="0.25">
      <c r="B13" s="48"/>
      <c r="C13" s="125" t="s">
        <v>72</v>
      </c>
      <c r="D13" s="124">
        <v>1</v>
      </c>
      <c r="E13" s="124" t="s">
        <v>71</v>
      </c>
      <c r="F13" s="129">
        <v>35.86</v>
      </c>
      <c r="G13" s="136"/>
      <c r="H13" s="135" t="s">
        <v>70</v>
      </c>
      <c r="I13" s="134"/>
      <c r="J13" s="134"/>
      <c r="K13" s="134"/>
      <c r="L13" s="134"/>
      <c r="M13" s="133"/>
      <c r="N13" s="44"/>
      <c r="P13" s="1">
        <v>1</v>
      </c>
      <c r="S13" s="109"/>
      <c r="T13" s="109"/>
      <c r="U13" s="109"/>
      <c r="V13" s="109"/>
      <c r="W13" s="109"/>
      <c r="X13" s="109"/>
      <c r="Y13" s="109"/>
      <c r="Z13" s="109"/>
      <c r="AA13" s="109"/>
      <c r="AB13" s="109"/>
    </row>
    <row r="14" spans="2:33" ht="15" customHeight="1" x14ac:dyDescent="0.2">
      <c r="B14" s="48"/>
      <c r="C14" s="125" t="s">
        <v>6</v>
      </c>
      <c r="D14" s="124">
        <v>1</v>
      </c>
      <c r="E14" s="124" t="s">
        <v>69</v>
      </c>
      <c r="F14" s="129">
        <v>32.58</v>
      </c>
      <c r="G14" s="136"/>
      <c r="H14" s="145" t="s">
        <v>68</v>
      </c>
      <c r="I14" s="144"/>
      <c r="J14" s="144"/>
      <c r="K14" s="144"/>
      <c r="L14" s="144"/>
      <c r="M14" s="143"/>
      <c r="N14" s="44"/>
      <c r="P14" s="1">
        <v>1</v>
      </c>
      <c r="S14" s="109"/>
      <c r="T14" s="109"/>
      <c r="U14" s="109"/>
      <c r="V14" s="109"/>
      <c r="W14" s="109"/>
      <c r="X14" s="109"/>
      <c r="Y14" s="109"/>
      <c r="Z14" s="109"/>
      <c r="AA14" s="109"/>
      <c r="AB14" s="109"/>
    </row>
    <row r="15" spans="2:33" ht="15" customHeight="1" x14ac:dyDescent="0.2">
      <c r="B15" s="48"/>
      <c r="C15" s="125" t="s">
        <v>67</v>
      </c>
      <c r="D15" s="124">
        <v>1</v>
      </c>
      <c r="E15" s="124" t="s">
        <v>66</v>
      </c>
      <c r="F15" s="129">
        <v>30.88</v>
      </c>
      <c r="G15" s="136"/>
      <c r="H15" s="142"/>
      <c r="I15" s="141"/>
      <c r="J15" s="141"/>
      <c r="K15" s="141"/>
      <c r="L15" s="141"/>
      <c r="M15" s="140"/>
      <c r="N15" s="44"/>
      <c r="P15" s="1">
        <v>1</v>
      </c>
      <c r="S15" s="109"/>
      <c r="T15" s="109"/>
      <c r="U15" s="109"/>
      <c r="V15" s="109"/>
      <c r="W15" s="109"/>
      <c r="X15" s="109"/>
      <c r="Y15" s="109"/>
      <c r="Z15" s="109"/>
      <c r="AA15" s="109"/>
      <c r="AB15" s="109"/>
    </row>
    <row r="16" spans="2:33" ht="15" customHeight="1" thickBot="1" x14ac:dyDescent="0.25">
      <c r="B16" s="48"/>
      <c r="C16" s="125" t="s">
        <v>65</v>
      </c>
      <c r="D16" s="124">
        <v>1</v>
      </c>
      <c r="E16" s="124" t="s">
        <v>64</v>
      </c>
      <c r="F16" s="129">
        <v>30.54</v>
      </c>
      <c r="G16" s="136"/>
      <c r="H16" s="139"/>
      <c r="I16" s="138"/>
      <c r="J16" s="138"/>
      <c r="K16" s="138"/>
      <c r="L16" s="138"/>
      <c r="M16" s="137"/>
      <c r="N16" s="44"/>
      <c r="P16" s="1">
        <v>1</v>
      </c>
      <c r="S16" s="109"/>
      <c r="T16" s="109"/>
      <c r="U16" s="109"/>
      <c r="V16" s="109"/>
      <c r="W16" s="109"/>
      <c r="X16" s="109"/>
      <c r="Y16" s="109"/>
      <c r="Z16" s="109"/>
      <c r="AA16" s="109"/>
      <c r="AB16" s="109"/>
    </row>
    <row r="17" spans="2:28" ht="15" customHeight="1" thickBot="1" x14ac:dyDescent="0.25">
      <c r="B17" s="48"/>
      <c r="C17" s="125" t="s">
        <v>63</v>
      </c>
      <c r="D17" s="124">
        <v>1</v>
      </c>
      <c r="E17" s="124" t="s">
        <v>62</v>
      </c>
      <c r="F17" s="129">
        <v>30.24</v>
      </c>
      <c r="G17" s="136"/>
      <c r="H17" s="135" t="s">
        <v>61</v>
      </c>
      <c r="I17" s="134"/>
      <c r="J17" s="134"/>
      <c r="K17" s="134"/>
      <c r="L17" s="134"/>
      <c r="M17" s="133"/>
      <c r="N17" s="44"/>
      <c r="P17" s="1">
        <v>1</v>
      </c>
      <c r="S17" s="109"/>
      <c r="T17" s="109"/>
      <c r="U17" s="109"/>
      <c r="V17" s="109"/>
      <c r="W17" s="109"/>
      <c r="X17" s="109"/>
      <c r="Y17" s="109"/>
      <c r="Z17" s="109"/>
      <c r="AA17" s="109"/>
      <c r="AB17" s="109"/>
    </row>
    <row r="18" spans="2:28" ht="15" customHeight="1" x14ac:dyDescent="0.2">
      <c r="B18" s="48"/>
      <c r="C18" s="125" t="s">
        <v>60</v>
      </c>
      <c r="D18" s="124">
        <v>1</v>
      </c>
      <c r="E18" s="124" t="s">
        <v>59</v>
      </c>
      <c r="F18" s="129">
        <v>27.87</v>
      </c>
      <c r="G18" s="122"/>
      <c r="H18" s="132" t="s">
        <v>58</v>
      </c>
      <c r="I18" s="131"/>
      <c r="J18" s="131"/>
      <c r="K18" s="131"/>
      <c r="L18" s="131"/>
      <c r="M18" s="130"/>
      <c r="N18" s="44"/>
      <c r="P18" s="1">
        <v>1</v>
      </c>
      <c r="S18" s="109"/>
      <c r="T18" s="109"/>
      <c r="U18" s="109"/>
      <c r="V18" s="109"/>
      <c r="W18" s="109"/>
      <c r="X18" s="109"/>
      <c r="Y18" s="109"/>
      <c r="Z18" s="109"/>
      <c r="AA18" s="109"/>
      <c r="AB18" s="109"/>
    </row>
    <row r="19" spans="2:28" ht="15" customHeight="1" x14ac:dyDescent="0.2">
      <c r="B19" s="48"/>
      <c r="C19" s="125" t="s">
        <v>1</v>
      </c>
      <c r="D19" s="124">
        <v>1</v>
      </c>
      <c r="E19" s="124" t="s">
        <v>57</v>
      </c>
      <c r="F19" s="129">
        <v>23</v>
      </c>
      <c r="G19" s="122"/>
      <c r="H19" s="128"/>
      <c r="I19" s="127"/>
      <c r="J19" s="127"/>
      <c r="K19" s="127"/>
      <c r="L19" s="127"/>
      <c r="M19" s="126"/>
      <c r="N19" s="44"/>
      <c r="P19" s="1">
        <v>1</v>
      </c>
      <c r="S19" s="109"/>
      <c r="T19" s="109"/>
      <c r="U19" s="109"/>
      <c r="V19" s="109"/>
      <c r="W19" s="109"/>
      <c r="X19" s="109"/>
      <c r="Y19" s="109"/>
      <c r="Z19" s="109"/>
      <c r="AA19" s="109"/>
      <c r="AB19" s="109"/>
    </row>
    <row r="20" spans="2:28" ht="15" customHeight="1" x14ac:dyDescent="0.2">
      <c r="B20" s="48"/>
      <c r="C20" s="125" t="s">
        <v>56</v>
      </c>
      <c r="D20" s="124">
        <v>1</v>
      </c>
      <c r="E20" s="124" t="s">
        <v>55</v>
      </c>
      <c r="F20" s="129">
        <v>26.16</v>
      </c>
      <c r="G20" s="122"/>
      <c r="H20" s="128"/>
      <c r="I20" s="127"/>
      <c r="J20" s="127"/>
      <c r="K20" s="127"/>
      <c r="L20" s="127"/>
      <c r="M20" s="126"/>
      <c r="N20" s="44"/>
      <c r="P20" s="1">
        <v>1</v>
      </c>
      <c r="S20" s="109"/>
      <c r="T20" s="109"/>
      <c r="U20" s="109"/>
      <c r="V20" s="109"/>
      <c r="W20" s="109"/>
      <c r="X20" s="109"/>
      <c r="Y20" s="109"/>
      <c r="Z20" s="109"/>
      <c r="AA20" s="109"/>
      <c r="AB20" s="109"/>
    </row>
    <row r="21" spans="2:28" ht="15" customHeight="1" thickBot="1" x14ac:dyDescent="0.25">
      <c r="B21" s="48"/>
      <c r="C21" s="125"/>
      <c r="D21" s="124"/>
      <c r="E21" s="124"/>
      <c r="F21" s="123">
        <v>0</v>
      </c>
      <c r="G21" s="122"/>
      <c r="H21" s="121"/>
      <c r="I21" s="120"/>
      <c r="J21" s="120"/>
      <c r="K21" s="120"/>
      <c r="L21" s="120"/>
      <c r="M21" s="119"/>
      <c r="N21" s="44"/>
      <c r="P21" s="1">
        <v>1</v>
      </c>
      <c r="S21" s="92"/>
      <c r="T21" s="92"/>
      <c r="U21" s="92"/>
      <c r="V21" s="109"/>
      <c r="W21" s="109"/>
      <c r="X21" s="109"/>
      <c r="Y21" s="109"/>
      <c r="Z21" s="109"/>
      <c r="AA21" s="109"/>
      <c r="AB21" s="109"/>
    </row>
    <row r="22" spans="2:28" ht="6" customHeight="1" thickBot="1" x14ac:dyDescent="0.25">
      <c r="B22" s="48"/>
      <c r="C22" s="118"/>
      <c r="D22" s="117"/>
      <c r="E22" s="116"/>
      <c r="F22" s="115"/>
      <c r="G22" s="113"/>
      <c r="H22" s="115"/>
      <c r="I22" s="42"/>
      <c r="J22" s="42"/>
      <c r="K22" s="42"/>
      <c r="L22" s="114"/>
      <c r="M22" s="113"/>
      <c r="N22" s="44"/>
      <c r="P22" s="1">
        <v>1</v>
      </c>
      <c r="S22" s="92"/>
      <c r="T22" s="92"/>
      <c r="U22" s="92"/>
      <c r="V22" s="109"/>
      <c r="W22" s="109"/>
      <c r="X22" s="109"/>
      <c r="Y22" s="109"/>
      <c r="Z22" s="109"/>
      <c r="AA22" s="109"/>
      <c r="AB22" s="109"/>
    </row>
    <row r="23" spans="2:28" ht="15.75" customHeight="1" thickBot="1" x14ac:dyDescent="0.3">
      <c r="B23" s="48"/>
      <c r="C23" s="112" t="s">
        <v>54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0"/>
      <c r="N23" s="44"/>
      <c r="P23" s="1">
        <v>1</v>
      </c>
      <c r="S23" s="92"/>
      <c r="T23" s="92">
        <v>4.0882352941176467</v>
      </c>
      <c r="U23" s="92"/>
      <c r="V23" s="109"/>
      <c r="W23" s="109"/>
      <c r="X23" s="109"/>
      <c r="Y23" s="109"/>
      <c r="Z23" s="109"/>
      <c r="AA23" s="109"/>
      <c r="AB23" s="109"/>
    </row>
    <row r="24" spans="2:28" ht="6" customHeight="1" x14ac:dyDescent="0.25">
      <c r="B24" s="48"/>
      <c r="C24" s="108"/>
      <c r="D24" s="107"/>
      <c r="E24" s="107"/>
      <c r="F24" s="103"/>
      <c r="G24" s="106"/>
      <c r="H24" s="105"/>
      <c r="I24" s="105"/>
      <c r="J24" s="104"/>
      <c r="K24" s="103"/>
      <c r="L24" s="103"/>
      <c r="M24" s="102"/>
      <c r="N24" s="101"/>
      <c r="O24" s="84"/>
      <c r="P24" s="1">
        <v>1</v>
      </c>
      <c r="S24" s="92"/>
      <c r="T24" s="92">
        <v>5.882352941176471</v>
      </c>
      <c r="U24" s="92"/>
    </row>
    <row r="25" spans="2:28" ht="14.1" customHeight="1" x14ac:dyDescent="0.25">
      <c r="B25" s="48"/>
      <c r="C25" s="100"/>
      <c r="E25" s="84"/>
      <c r="G25" s="99"/>
      <c r="H25" s="98"/>
      <c r="I25" s="84"/>
      <c r="J25" s="97" t="s">
        <v>53</v>
      </c>
      <c r="K25" s="96"/>
      <c r="L25" s="95"/>
      <c r="M25" s="44"/>
      <c r="N25" s="93"/>
      <c r="O25" s="3"/>
      <c r="P25" s="1">
        <v>1</v>
      </c>
      <c r="S25" s="92"/>
      <c r="T25" s="92">
        <v>21.643598615916954</v>
      </c>
      <c r="U25" s="92"/>
    </row>
    <row r="26" spans="2:28" ht="12.75" customHeight="1" x14ac:dyDescent="0.2">
      <c r="B26" s="48"/>
      <c r="C26" s="48"/>
      <c r="H26" s="3"/>
      <c r="I26" s="3"/>
      <c r="J26" s="94" t="s">
        <v>52</v>
      </c>
      <c r="K26" s="94" t="s">
        <v>51</v>
      </c>
      <c r="L26" s="94" t="s">
        <v>50</v>
      </c>
      <c r="M26" s="44"/>
      <c r="N26" s="93"/>
      <c r="O26" s="3"/>
      <c r="P26" s="1">
        <v>1</v>
      </c>
      <c r="S26" s="92"/>
      <c r="T26" s="92"/>
      <c r="U26" s="92"/>
    </row>
    <row r="27" spans="2:28" ht="14.1" customHeight="1" x14ac:dyDescent="0.2">
      <c r="B27" s="48"/>
      <c r="C27" s="48"/>
      <c r="D27" s="78"/>
      <c r="G27" s="78"/>
      <c r="J27" s="90" t="str">
        <f>C11</f>
        <v>334</v>
      </c>
      <c r="K27" s="88">
        <v>23.74</v>
      </c>
      <c r="L27" s="88">
        <v>14.17</v>
      </c>
      <c r="M27" s="44"/>
      <c r="N27" s="87"/>
      <c r="O27" s="78"/>
      <c r="P27" s="1">
        <v>1</v>
      </c>
    </row>
    <row r="28" spans="2:28" ht="14.1" customHeight="1" x14ac:dyDescent="0.2">
      <c r="B28" s="48"/>
      <c r="C28" s="86"/>
      <c r="D28" s="78"/>
      <c r="G28" s="78"/>
      <c r="J28" s="90" t="str">
        <f>C12</f>
        <v>35</v>
      </c>
      <c r="K28" s="88">
        <v>24.33</v>
      </c>
      <c r="L28" s="88">
        <v>14.44</v>
      </c>
      <c r="M28" s="44"/>
      <c r="N28" s="87"/>
      <c r="O28" s="78"/>
      <c r="P28" s="1">
        <v>1</v>
      </c>
    </row>
    <row r="29" spans="2:28" ht="14.1" customHeight="1" x14ac:dyDescent="0.2">
      <c r="B29" s="48"/>
      <c r="C29" s="86"/>
      <c r="D29" s="78"/>
      <c r="G29" s="78"/>
      <c r="J29" s="90" t="str">
        <f>C13</f>
        <v>36</v>
      </c>
      <c r="K29" s="88">
        <v>24.74</v>
      </c>
      <c r="L29" s="88">
        <v>14.61</v>
      </c>
      <c r="M29" s="44"/>
      <c r="N29" s="87"/>
      <c r="O29" s="78"/>
      <c r="P29" s="1">
        <v>1</v>
      </c>
    </row>
    <row r="30" spans="2:28" ht="14.1" customHeight="1" x14ac:dyDescent="0.2">
      <c r="B30" s="48"/>
      <c r="C30" s="86"/>
      <c r="D30" s="78"/>
      <c r="G30" s="78"/>
      <c r="J30" s="90" t="str">
        <f>C14</f>
        <v>378</v>
      </c>
      <c r="K30" s="88">
        <v>26.08</v>
      </c>
      <c r="L30" s="88">
        <v>15.28</v>
      </c>
      <c r="M30" s="44"/>
      <c r="N30" s="87"/>
      <c r="O30" s="78"/>
      <c r="P30" s="1">
        <v>1</v>
      </c>
    </row>
    <row r="31" spans="2:28" ht="14.1" customHeight="1" x14ac:dyDescent="0.2">
      <c r="B31" s="48"/>
      <c r="C31" s="86"/>
      <c r="D31" s="78"/>
      <c r="G31" s="78"/>
      <c r="J31" s="90" t="str">
        <f>C15</f>
        <v>39</v>
      </c>
      <c r="K31" s="88">
        <v>26.65</v>
      </c>
      <c r="L31" s="88">
        <v>15.51</v>
      </c>
      <c r="M31" s="44"/>
      <c r="N31" s="87"/>
      <c r="O31" s="78"/>
      <c r="P31" s="1">
        <v>1</v>
      </c>
    </row>
    <row r="32" spans="2:28" ht="14.1" customHeight="1" x14ac:dyDescent="0.2">
      <c r="B32" s="48"/>
      <c r="C32" s="86"/>
      <c r="D32" s="78"/>
      <c r="G32" s="78"/>
      <c r="J32" s="90" t="str">
        <f>C16</f>
        <v>40</v>
      </c>
      <c r="K32" s="88">
        <v>27.05</v>
      </c>
      <c r="L32" s="88">
        <v>15.7</v>
      </c>
      <c r="M32" s="44"/>
      <c r="N32" s="87"/>
      <c r="O32" s="78"/>
      <c r="P32" s="1">
        <v>1</v>
      </c>
    </row>
    <row r="33" spans="2:20" ht="14.1" customHeight="1" x14ac:dyDescent="0.2">
      <c r="B33" s="48"/>
      <c r="C33" s="86"/>
      <c r="D33" s="78"/>
      <c r="G33" s="78"/>
      <c r="J33" s="90" t="str">
        <f>C17</f>
        <v>41</v>
      </c>
      <c r="K33" s="88">
        <v>27.48</v>
      </c>
      <c r="L33" s="88">
        <v>15.85</v>
      </c>
      <c r="M33" s="44"/>
      <c r="N33" s="87"/>
      <c r="O33" s="78"/>
      <c r="P33" s="1">
        <v>1</v>
      </c>
    </row>
    <row r="34" spans="2:20" ht="14.1" customHeight="1" x14ac:dyDescent="0.2">
      <c r="B34" s="48"/>
      <c r="C34" s="86"/>
      <c r="D34" s="78"/>
      <c r="G34" s="78"/>
      <c r="J34" s="90" t="str">
        <f>C18</f>
        <v>42</v>
      </c>
      <c r="K34" s="88">
        <v>28.71</v>
      </c>
      <c r="L34" s="88">
        <v>16.46</v>
      </c>
      <c r="M34" s="44"/>
      <c r="N34" s="87"/>
      <c r="O34" s="78"/>
      <c r="P34" s="1">
        <v>1</v>
      </c>
    </row>
    <row r="35" spans="2:20" ht="14.1" customHeight="1" x14ac:dyDescent="0.2">
      <c r="B35" s="48"/>
      <c r="C35" s="86"/>
      <c r="D35" s="78"/>
      <c r="G35" s="78"/>
      <c r="J35" s="90" t="str">
        <f>C19</f>
        <v>434</v>
      </c>
      <c r="K35" s="88">
        <v>29.26</v>
      </c>
      <c r="L35" s="88">
        <v>16.71</v>
      </c>
      <c r="M35" s="44"/>
      <c r="N35" s="87"/>
      <c r="O35" s="78"/>
      <c r="P35" s="1">
        <v>1</v>
      </c>
      <c r="T35" s="91"/>
    </row>
    <row r="36" spans="2:20" ht="15.75" x14ac:dyDescent="0.2">
      <c r="B36" s="48"/>
      <c r="C36" s="86"/>
      <c r="D36" s="78"/>
      <c r="J36" s="90" t="str">
        <f>C20</f>
        <v>45</v>
      </c>
      <c r="K36" s="89">
        <v>29.86</v>
      </c>
      <c r="L36" s="88">
        <v>16.97</v>
      </c>
      <c r="M36" s="44"/>
      <c r="N36" s="87"/>
      <c r="O36" s="78"/>
      <c r="P36" s="1">
        <v>1</v>
      </c>
    </row>
    <row r="37" spans="2:20" x14ac:dyDescent="0.2">
      <c r="B37" s="48"/>
      <c r="C37" s="86"/>
      <c r="D37" s="78"/>
      <c r="G37" s="78"/>
      <c r="K37" s="1">
        <v>0</v>
      </c>
      <c r="L37" s="1">
        <v>0</v>
      </c>
      <c r="M37" s="44"/>
      <c r="N37" s="44"/>
      <c r="P37" s="1">
        <v>1</v>
      </c>
    </row>
    <row r="38" spans="2:20" ht="15" x14ac:dyDescent="0.25">
      <c r="B38" s="48"/>
      <c r="C38" s="86"/>
      <c r="D38" s="78"/>
      <c r="G38" s="78"/>
      <c r="H38" s="85"/>
      <c r="I38" s="85"/>
      <c r="M38" s="44"/>
      <c r="N38" s="44"/>
      <c r="P38" s="1">
        <v>1</v>
      </c>
    </row>
    <row r="39" spans="2:20" ht="9.75" customHeight="1" thickBot="1" x14ac:dyDescent="0.3">
      <c r="B39" s="48"/>
      <c r="C39" s="80"/>
      <c r="D39" s="78"/>
      <c r="F39" s="83"/>
      <c r="G39" s="84"/>
      <c r="J39" s="78"/>
      <c r="K39" s="83"/>
      <c r="L39" s="82"/>
      <c r="M39" s="81"/>
      <c r="N39" s="44"/>
      <c r="P39" s="1">
        <v>1</v>
      </c>
    </row>
    <row r="40" spans="2:20" ht="12" hidden="1" customHeight="1" thickBot="1" x14ac:dyDescent="0.3">
      <c r="B40" s="48"/>
      <c r="C40" s="80"/>
      <c r="D40" s="78"/>
      <c r="J40" s="79"/>
      <c r="K40" s="78"/>
      <c r="M40" s="44"/>
      <c r="N40" s="44"/>
      <c r="P40" s="1">
        <v>1</v>
      </c>
    </row>
    <row r="41" spans="2:20" ht="28.5" customHeight="1" thickBot="1" x14ac:dyDescent="0.35">
      <c r="B41" s="48"/>
      <c r="C41" s="77" t="s">
        <v>49</v>
      </c>
      <c r="D41" s="76"/>
      <c r="E41" s="76"/>
      <c r="F41" s="76"/>
      <c r="G41" s="76"/>
      <c r="H41" s="76"/>
      <c r="I41" s="76"/>
      <c r="J41" s="76"/>
      <c r="K41" s="76"/>
      <c r="L41" s="76"/>
      <c r="M41" s="75"/>
      <c r="N41" s="44"/>
      <c r="P41" s="1">
        <v>1</v>
      </c>
    </row>
    <row r="42" spans="2:20" ht="13.5" customHeight="1" thickBot="1" x14ac:dyDescent="0.25">
      <c r="B42" s="48"/>
      <c r="C42" s="74" t="s">
        <v>48</v>
      </c>
      <c r="D42" s="73" t="s">
        <v>47</v>
      </c>
      <c r="E42" s="73" t="s">
        <v>46</v>
      </c>
      <c r="F42" s="73" t="s">
        <v>45</v>
      </c>
      <c r="G42" s="73" t="s">
        <v>47</v>
      </c>
      <c r="H42" s="73" t="s">
        <v>46</v>
      </c>
      <c r="I42" s="73" t="s">
        <v>45</v>
      </c>
      <c r="J42" s="73" t="s">
        <v>47</v>
      </c>
      <c r="K42" s="73" t="s">
        <v>46</v>
      </c>
      <c r="L42" s="73" t="s">
        <v>45</v>
      </c>
      <c r="M42" s="72" t="s">
        <v>44</v>
      </c>
      <c r="N42" s="44"/>
      <c r="P42" s="1">
        <v>1</v>
      </c>
    </row>
    <row r="43" spans="2:20" ht="20.25" hidden="1" thickBot="1" x14ac:dyDescent="0.35">
      <c r="B43" s="48"/>
      <c r="C43" s="64"/>
      <c r="D43" s="62"/>
      <c r="E43" s="62"/>
      <c r="F43" s="62"/>
      <c r="G43" s="62"/>
      <c r="H43" s="62"/>
      <c r="I43" s="62"/>
      <c r="J43" s="62"/>
      <c r="K43" s="62"/>
      <c r="L43" s="62"/>
      <c r="M43" s="61"/>
      <c r="N43" s="44"/>
      <c r="P43" s="1">
        <v>1</v>
      </c>
    </row>
    <row r="44" spans="2:20" ht="17.25" hidden="1" customHeight="1" thickBot="1" x14ac:dyDescent="0.35">
      <c r="B44" s="48"/>
      <c r="C44" s="64"/>
      <c r="D44" s="62"/>
      <c r="E44" s="62"/>
      <c r="F44" s="62"/>
      <c r="G44" s="62"/>
      <c r="H44" s="62"/>
      <c r="I44" s="62"/>
      <c r="J44" s="62"/>
      <c r="K44" s="62"/>
      <c r="L44" s="62"/>
      <c r="M44" s="61"/>
      <c r="N44" s="44"/>
      <c r="P44" s="1">
        <v>1</v>
      </c>
    </row>
    <row r="45" spans="2:20" ht="17.25" customHeight="1" thickBot="1" x14ac:dyDescent="0.35">
      <c r="B45" s="48"/>
      <c r="C45" s="64" t="s">
        <v>43</v>
      </c>
      <c r="D45" s="62">
        <v>5</v>
      </c>
      <c r="E45" s="62">
        <v>41</v>
      </c>
      <c r="F45" s="62" t="s">
        <v>25</v>
      </c>
      <c r="G45" s="62"/>
      <c r="H45" s="62"/>
      <c r="I45" s="62"/>
      <c r="J45" s="62"/>
      <c r="K45" s="62">
        <f>K33*4+K32*1</f>
        <v>136.97</v>
      </c>
      <c r="L45" s="62"/>
      <c r="M45" s="61" t="s">
        <v>39</v>
      </c>
      <c r="N45" s="44"/>
      <c r="P45" s="1">
        <v>1</v>
      </c>
    </row>
    <row r="46" spans="2:20" ht="17.25" customHeight="1" thickBot="1" x14ac:dyDescent="0.35">
      <c r="B46" s="48"/>
      <c r="C46" s="64" t="s">
        <v>42</v>
      </c>
      <c r="D46" s="62">
        <v>5</v>
      </c>
      <c r="E46" s="62">
        <v>40</v>
      </c>
      <c r="F46" s="62" t="s">
        <v>25</v>
      </c>
      <c r="G46" s="62"/>
      <c r="H46" s="62"/>
      <c r="I46" s="62"/>
      <c r="J46" s="62"/>
      <c r="K46" s="62"/>
      <c r="L46" s="62"/>
      <c r="M46" s="61" t="s">
        <v>100</v>
      </c>
      <c r="N46" s="44"/>
      <c r="P46" s="1">
        <v>1</v>
      </c>
    </row>
    <row r="47" spans="2:20" ht="17.25" customHeight="1" thickBot="1" x14ac:dyDescent="0.35">
      <c r="B47" s="48"/>
      <c r="C47" s="64" t="s">
        <v>40</v>
      </c>
      <c r="D47" s="62">
        <v>2</v>
      </c>
      <c r="E47" s="62">
        <v>36</v>
      </c>
      <c r="F47" s="62" t="s">
        <v>25</v>
      </c>
      <c r="G47" s="62">
        <v>3</v>
      </c>
      <c r="H47" s="62">
        <v>42</v>
      </c>
      <c r="I47" s="62" t="s">
        <v>25</v>
      </c>
      <c r="J47" s="62"/>
      <c r="K47" s="62">
        <f>D47*K29+G47*K34</f>
        <v>135.60999999999999</v>
      </c>
      <c r="L47" s="62"/>
      <c r="M47" s="61" t="s">
        <v>99</v>
      </c>
      <c r="N47" s="44"/>
      <c r="P47" s="1">
        <v>1</v>
      </c>
    </row>
    <row r="48" spans="2:20" ht="17.25" customHeight="1" thickBot="1" x14ac:dyDescent="0.35">
      <c r="B48" s="48"/>
      <c r="C48" s="64" t="s">
        <v>38</v>
      </c>
      <c r="D48" s="62">
        <v>2</v>
      </c>
      <c r="E48" s="62">
        <v>35</v>
      </c>
      <c r="F48" s="62" t="s">
        <v>25</v>
      </c>
      <c r="G48" s="62">
        <v>3</v>
      </c>
      <c r="H48" s="62">
        <v>434</v>
      </c>
      <c r="I48" s="62" t="s">
        <v>25</v>
      </c>
      <c r="J48" s="62"/>
      <c r="K48" s="62"/>
      <c r="L48" s="62"/>
      <c r="M48" s="61" t="s">
        <v>98</v>
      </c>
      <c r="N48" s="44"/>
      <c r="P48" s="1">
        <v>1</v>
      </c>
    </row>
    <row r="49" spans="2:148" ht="17.25" customHeight="1" thickBot="1" x14ac:dyDescent="0.35">
      <c r="B49" s="48"/>
      <c r="C49" s="64" t="s">
        <v>36</v>
      </c>
      <c r="D49" s="62">
        <v>4</v>
      </c>
      <c r="E49" s="62">
        <v>434</v>
      </c>
      <c r="F49" s="62" t="s">
        <v>25</v>
      </c>
      <c r="G49" s="62"/>
      <c r="H49" s="62"/>
      <c r="I49" s="62"/>
      <c r="J49" s="62"/>
      <c r="K49" s="62"/>
      <c r="L49" s="62"/>
      <c r="M49" s="61" t="s">
        <v>97</v>
      </c>
      <c r="N49" s="44"/>
      <c r="P49" s="1">
        <v>1</v>
      </c>
    </row>
    <row r="50" spans="2:148" ht="17.25" customHeight="1" thickBot="1" x14ac:dyDescent="0.35">
      <c r="B50" s="48"/>
      <c r="C50" s="64" t="s">
        <v>34</v>
      </c>
      <c r="D50" s="62">
        <v>2</v>
      </c>
      <c r="E50" s="62">
        <v>334</v>
      </c>
      <c r="F50" s="62" t="s">
        <v>25</v>
      </c>
      <c r="G50" s="62">
        <v>3</v>
      </c>
      <c r="H50" s="62">
        <v>45</v>
      </c>
      <c r="I50" s="62" t="s">
        <v>25</v>
      </c>
      <c r="J50" s="62"/>
      <c r="K50" s="62"/>
      <c r="L50" s="62"/>
      <c r="M50" s="61" t="s">
        <v>96</v>
      </c>
      <c r="N50" s="44"/>
      <c r="P50" s="1">
        <v>1</v>
      </c>
    </row>
    <row r="51" spans="2:148" s="65" customFormat="1" ht="17.25" customHeight="1" thickBot="1" x14ac:dyDescent="0.35">
      <c r="B51" s="70"/>
      <c r="C51" s="69" t="s">
        <v>32</v>
      </c>
      <c r="D51" s="68">
        <v>2</v>
      </c>
      <c r="E51" s="68">
        <v>45</v>
      </c>
      <c r="F51" s="68" t="s">
        <v>25</v>
      </c>
      <c r="G51" s="68">
        <v>3</v>
      </c>
      <c r="H51" s="68">
        <v>378</v>
      </c>
      <c r="I51" s="68" t="s">
        <v>25</v>
      </c>
      <c r="J51" s="68"/>
      <c r="K51" s="68">
        <f>D51*K36+G51*K30</f>
        <v>137.95999999999998</v>
      </c>
      <c r="L51" s="68"/>
      <c r="M51" s="67" t="s">
        <v>95</v>
      </c>
      <c r="N51" s="66"/>
      <c r="P51" s="65">
        <v>1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</row>
    <row r="52" spans="2:148" ht="20.25" thickBot="1" x14ac:dyDescent="0.35">
      <c r="B52" s="48"/>
      <c r="C52" s="64" t="s">
        <v>30</v>
      </c>
      <c r="D52" s="63">
        <v>3</v>
      </c>
      <c r="E52" s="63">
        <v>378</v>
      </c>
      <c r="F52" s="63" t="s">
        <v>25</v>
      </c>
      <c r="G52" s="63">
        <v>2</v>
      </c>
      <c r="H52" s="62">
        <v>42</v>
      </c>
      <c r="I52" s="62" t="s">
        <v>25</v>
      </c>
      <c r="J52" s="62"/>
      <c r="K52" s="62"/>
      <c r="L52" s="62"/>
      <c r="M52" s="61" t="s">
        <v>94</v>
      </c>
      <c r="N52" s="44"/>
      <c r="P52" s="1">
        <v>1</v>
      </c>
    </row>
    <row r="53" spans="2:148" ht="20.25" thickBot="1" x14ac:dyDescent="0.35">
      <c r="B53" s="48"/>
      <c r="C53" s="64" t="s">
        <v>28</v>
      </c>
      <c r="D53" s="63">
        <v>2</v>
      </c>
      <c r="E53" s="63">
        <v>42</v>
      </c>
      <c r="F53" s="63" t="s">
        <v>25</v>
      </c>
      <c r="G53" s="63">
        <v>3</v>
      </c>
      <c r="H53" s="62">
        <v>39</v>
      </c>
      <c r="I53" s="62" t="s">
        <v>25</v>
      </c>
      <c r="J53" s="62"/>
      <c r="K53" s="62"/>
      <c r="L53" s="62"/>
      <c r="M53" s="61" t="s">
        <v>39</v>
      </c>
      <c r="N53" s="44"/>
      <c r="P53" s="1">
        <v>1</v>
      </c>
    </row>
    <row r="54" spans="2:148" ht="20.25" thickBot="1" x14ac:dyDescent="0.35">
      <c r="B54" s="48"/>
      <c r="C54" s="64" t="s">
        <v>26</v>
      </c>
      <c r="D54" s="63">
        <v>5</v>
      </c>
      <c r="E54" s="63">
        <v>39</v>
      </c>
      <c r="F54" s="63" t="s">
        <v>25</v>
      </c>
      <c r="G54" s="63"/>
      <c r="H54" s="62"/>
      <c r="I54" s="62"/>
      <c r="J54" s="62"/>
      <c r="K54" s="62"/>
      <c r="L54" s="62"/>
      <c r="M54" s="61" t="s">
        <v>93</v>
      </c>
      <c r="N54" s="44"/>
      <c r="P54" s="1">
        <v>1</v>
      </c>
    </row>
    <row r="55" spans="2:148" x14ac:dyDescent="0.2">
      <c r="B55" s="48"/>
      <c r="C55" s="60" t="s">
        <v>23</v>
      </c>
      <c r="D55" s="59"/>
      <c r="E55" s="59"/>
      <c r="F55" s="59"/>
      <c r="G55" s="59"/>
      <c r="H55" s="59"/>
      <c r="I55" s="59"/>
      <c r="J55" s="59"/>
      <c r="K55" s="59"/>
      <c r="L55" s="59"/>
      <c r="M55" s="58"/>
      <c r="N55" s="44"/>
      <c r="P55" s="1">
        <v>1</v>
      </c>
    </row>
    <row r="56" spans="2:148" x14ac:dyDescent="0.2">
      <c r="B56" s="48"/>
      <c r="C56" s="60"/>
      <c r="D56" s="59"/>
      <c r="E56" s="59"/>
      <c r="F56" s="59"/>
      <c r="G56" s="59"/>
      <c r="H56" s="59"/>
      <c r="I56" s="59"/>
      <c r="J56" s="59"/>
      <c r="K56" s="59"/>
      <c r="L56" s="59"/>
      <c r="M56" s="58"/>
      <c r="N56" s="44"/>
      <c r="P56" s="1">
        <v>1</v>
      </c>
    </row>
    <row r="57" spans="2:148" x14ac:dyDescent="0.2">
      <c r="B57" s="48"/>
      <c r="C57" s="60"/>
      <c r="D57" s="59"/>
      <c r="E57" s="59"/>
      <c r="F57" s="59"/>
      <c r="G57" s="59"/>
      <c r="H57" s="59"/>
      <c r="I57" s="59"/>
      <c r="J57" s="59"/>
      <c r="K57" s="59"/>
      <c r="L57" s="59"/>
      <c r="M57" s="58"/>
      <c r="N57" s="44"/>
      <c r="P57" s="1">
        <v>1</v>
      </c>
    </row>
    <row r="58" spans="2:148" x14ac:dyDescent="0.2">
      <c r="B58" s="48"/>
      <c r="C58" s="60"/>
      <c r="D58" s="59"/>
      <c r="E58" s="59"/>
      <c r="F58" s="59"/>
      <c r="G58" s="59"/>
      <c r="H58" s="59"/>
      <c r="I58" s="59"/>
      <c r="J58" s="59"/>
      <c r="K58" s="59"/>
      <c r="L58" s="59"/>
      <c r="M58" s="58"/>
      <c r="N58" s="44"/>
      <c r="P58" s="1">
        <v>1</v>
      </c>
    </row>
    <row r="59" spans="2:148" x14ac:dyDescent="0.2">
      <c r="B59" s="48"/>
      <c r="C59" s="60"/>
      <c r="D59" s="59"/>
      <c r="E59" s="59"/>
      <c r="F59" s="59"/>
      <c r="G59" s="59"/>
      <c r="H59" s="59"/>
      <c r="I59" s="59"/>
      <c r="J59" s="59"/>
      <c r="K59" s="59"/>
      <c r="L59" s="59"/>
      <c r="M59" s="58"/>
      <c r="N59" s="44"/>
      <c r="P59" s="1">
        <v>1</v>
      </c>
    </row>
    <row r="60" spans="2:148" x14ac:dyDescent="0.2">
      <c r="B60" s="48"/>
      <c r="C60" s="57" t="s">
        <v>22</v>
      </c>
      <c r="D60" s="56"/>
      <c r="E60" s="56"/>
      <c r="F60" s="56"/>
      <c r="G60" s="56"/>
      <c r="H60" s="56"/>
      <c r="I60" s="56"/>
      <c r="J60" s="56"/>
      <c r="K60" s="56"/>
      <c r="L60" s="56"/>
      <c r="M60" s="55"/>
      <c r="N60" s="44"/>
      <c r="P60" s="1">
        <v>1</v>
      </c>
    </row>
    <row r="61" spans="2:148" x14ac:dyDescent="0.2">
      <c r="B61" s="48"/>
      <c r="C61" s="57"/>
      <c r="D61" s="56"/>
      <c r="E61" s="56"/>
      <c r="F61" s="56"/>
      <c r="G61" s="56"/>
      <c r="H61" s="56"/>
      <c r="I61" s="56"/>
      <c r="J61" s="56"/>
      <c r="K61" s="56"/>
      <c r="L61" s="56"/>
      <c r="M61" s="55"/>
      <c r="N61" s="44"/>
      <c r="P61" s="1">
        <v>1</v>
      </c>
    </row>
    <row r="62" spans="2:148" x14ac:dyDescent="0.2">
      <c r="B62" s="48"/>
      <c r="C62" s="57"/>
      <c r="D62" s="56"/>
      <c r="E62" s="56"/>
      <c r="F62" s="56"/>
      <c r="G62" s="56"/>
      <c r="H62" s="56"/>
      <c r="I62" s="56"/>
      <c r="J62" s="56"/>
      <c r="K62" s="56"/>
      <c r="L62" s="56"/>
      <c r="M62" s="55"/>
      <c r="N62" s="44"/>
      <c r="P62" s="1">
        <v>1</v>
      </c>
    </row>
    <row r="63" spans="2:148" ht="23.25" x14ac:dyDescent="0.35">
      <c r="B63" s="48"/>
      <c r="C63" s="54"/>
      <c r="D63" s="53"/>
      <c r="E63" s="53"/>
      <c r="F63" s="53"/>
      <c r="G63" s="53"/>
      <c r="H63" s="53"/>
      <c r="I63" s="53"/>
      <c r="J63" s="53"/>
      <c r="K63" s="53"/>
      <c r="L63" s="53"/>
      <c r="M63" s="52"/>
      <c r="N63" s="44"/>
      <c r="P63" s="1">
        <v>1</v>
      </c>
    </row>
    <row r="64" spans="2:148" x14ac:dyDescent="0.2">
      <c r="B64" s="48"/>
      <c r="C64" s="51" t="s">
        <v>21</v>
      </c>
      <c r="D64" s="50"/>
      <c r="E64" s="50"/>
      <c r="F64" s="50"/>
      <c r="G64" s="50"/>
      <c r="H64" s="50"/>
      <c r="I64" s="50"/>
      <c r="J64" s="50"/>
      <c r="K64" s="50"/>
      <c r="L64" s="50"/>
      <c r="M64" s="49"/>
      <c r="N64" s="44"/>
      <c r="P64" s="1">
        <v>1</v>
      </c>
    </row>
    <row r="65" spans="2:16" ht="13.5" thickBot="1" x14ac:dyDescent="0.25">
      <c r="B65" s="48"/>
      <c r="C65" s="47" t="s">
        <v>20</v>
      </c>
      <c r="D65" s="46"/>
      <c r="E65" s="46"/>
      <c r="F65" s="46"/>
      <c r="G65" s="46"/>
      <c r="H65" s="46"/>
      <c r="I65" s="46"/>
      <c r="J65" s="46"/>
      <c r="K65" s="46"/>
      <c r="L65" s="46"/>
      <c r="M65" s="45"/>
      <c r="N65" s="44"/>
      <c r="P65" s="1">
        <v>1</v>
      </c>
    </row>
    <row r="66" spans="2:16" ht="13.5" thickBot="1" x14ac:dyDescent="0.25">
      <c r="B66" s="43"/>
      <c r="C66" s="42"/>
      <c r="D66" s="42"/>
      <c r="E66" s="42"/>
      <c r="F66" s="42" t="s">
        <v>19</v>
      </c>
      <c r="G66" s="42"/>
      <c r="H66" s="42"/>
      <c r="I66" s="42" t="s">
        <v>18</v>
      </c>
      <c r="J66" s="42" t="s">
        <v>17</v>
      </c>
      <c r="K66" s="42"/>
      <c r="L66" s="42"/>
      <c r="M66" s="42"/>
      <c r="N66" s="41"/>
      <c r="P66" s="1">
        <v>1</v>
      </c>
    </row>
    <row r="68" spans="2:16" x14ac:dyDescent="0.2">
      <c r="B68" s="33" t="s">
        <v>16</v>
      </c>
      <c r="C68" s="40" t="s">
        <v>15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8"/>
    </row>
    <row r="69" spans="2:16" x14ac:dyDescent="0.2">
      <c r="C69" s="37" t="s">
        <v>14</v>
      </c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5"/>
    </row>
    <row r="71" spans="2:16" x14ac:dyDescent="0.2">
      <c r="C71" s="33" t="s">
        <v>13</v>
      </c>
      <c r="D71" s="34">
        <v>0</v>
      </c>
      <c r="F71" s="33">
        <v>0</v>
      </c>
    </row>
    <row r="72" spans="2:16" x14ac:dyDescent="0.2">
      <c r="D72" s="1" t="s">
        <v>0</v>
      </c>
    </row>
    <row r="73" spans="2:16" ht="15" x14ac:dyDescent="0.25">
      <c r="C73" s="31" t="s">
        <v>12</v>
      </c>
      <c r="D73" s="32" t="s">
        <v>11</v>
      </c>
      <c r="E73" s="31" t="s">
        <v>9</v>
      </c>
      <c r="F73" s="30" t="s">
        <v>10</v>
      </c>
      <c r="G73" s="27" t="s">
        <v>8</v>
      </c>
      <c r="H73" s="29"/>
      <c r="I73" s="17" t="s">
        <v>9</v>
      </c>
      <c r="J73" s="27" t="s">
        <v>8</v>
      </c>
      <c r="K73" s="28"/>
      <c r="L73" s="17" t="s">
        <v>7</v>
      </c>
      <c r="M73" s="27"/>
    </row>
    <row r="74" spans="2:16" ht="15" x14ac:dyDescent="0.25">
      <c r="C74" s="26" t="s">
        <v>6</v>
      </c>
      <c r="D74" s="25" t="s">
        <v>0</v>
      </c>
      <c r="E74" s="24">
        <v>28.32</v>
      </c>
      <c r="F74" s="23">
        <v>3.5310734463276837E-2</v>
      </c>
      <c r="G74" s="22">
        <v>0.38100282485875703</v>
      </c>
      <c r="H74" s="21">
        <v>10.79</v>
      </c>
      <c r="I74" s="24"/>
      <c r="J74" s="19"/>
      <c r="K74" s="18"/>
      <c r="L74" s="17"/>
      <c r="M74" s="16">
        <v>0</v>
      </c>
    </row>
    <row r="75" spans="2:16" ht="15" x14ac:dyDescent="0.25">
      <c r="C75" s="26" t="s">
        <v>5</v>
      </c>
      <c r="D75" s="25">
        <v>1</v>
      </c>
      <c r="E75" s="24">
        <v>27.32</v>
      </c>
      <c r="F75" s="23">
        <v>3.6603221083455345E-2</v>
      </c>
      <c r="G75" s="22">
        <v>0.61932650073206452</v>
      </c>
      <c r="H75" s="21">
        <v>16.920000000000002</v>
      </c>
      <c r="I75" s="24"/>
      <c r="J75" s="19"/>
      <c r="K75" s="18"/>
      <c r="L75" s="17"/>
      <c r="M75" s="16">
        <v>0</v>
      </c>
    </row>
    <row r="76" spans="2:16" ht="15" x14ac:dyDescent="0.25">
      <c r="C76" s="26" t="s">
        <v>4</v>
      </c>
      <c r="D76" s="25">
        <v>1</v>
      </c>
      <c r="E76" s="24">
        <v>26.87</v>
      </c>
      <c r="F76" s="23">
        <v>3.7216226274655748E-2</v>
      </c>
      <c r="G76" s="22">
        <v>0.85225158168961657</v>
      </c>
      <c r="H76" s="21">
        <v>22.9</v>
      </c>
      <c r="I76" s="24"/>
      <c r="J76" s="19"/>
      <c r="K76" s="18"/>
      <c r="L76" s="17"/>
      <c r="M76" s="16">
        <v>0</v>
      </c>
    </row>
    <row r="77" spans="2:16" ht="15" x14ac:dyDescent="0.25">
      <c r="C77" s="26" t="s">
        <v>3</v>
      </c>
      <c r="D77" s="25">
        <v>1</v>
      </c>
      <c r="E77" s="24">
        <v>21.26</v>
      </c>
      <c r="F77" s="23">
        <v>4.7036688617121354E-2</v>
      </c>
      <c r="G77" s="22">
        <v>1.0075258701787395</v>
      </c>
      <c r="H77" s="21">
        <v>21.42</v>
      </c>
      <c r="I77" s="24"/>
      <c r="J77" s="19"/>
      <c r="K77" s="18"/>
      <c r="L77" s="17"/>
      <c r="M77" s="16">
        <v>0</v>
      </c>
    </row>
    <row r="78" spans="2:16" ht="15" x14ac:dyDescent="0.25">
      <c r="C78" s="26" t="s">
        <v>2</v>
      </c>
      <c r="D78" s="25">
        <v>1</v>
      </c>
      <c r="E78" s="24">
        <v>20.82</v>
      </c>
      <c r="F78" s="23">
        <v>4.8030739673390971E-2</v>
      </c>
      <c r="G78" s="22">
        <v>0.84918347742555234</v>
      </c>
      <c r="H78" s="21">
        <v>17.68</v>
      </c>
      <c r="I78" s="24"/>
      <c r="J78" s="19"/>
      <c r="K78" s="18"/>
      <c r="L78" s="17"/>
      <c r="M78" s="16">
        <v>0</v>
      </c>
    </row>
    <row r="79" spans="2:16" ht="15" x14ac:dyDescent="0.25">
      <c r="C79" s="26" t="s">
        <v>1</v>
      </c>
      <c r="D79" s="25">
        <v>1</v>
      </c>
      <c r="E79" s="24">
        <v>20.27</v>
      </c>
      <c r="F79" s="23">
        <v>4.9333991119881598E-2</v>
      </c>
      <c r="G79" s="22">
        <v>0.5076467686235816</v>
      </c>
      <c r="H79" s="21">
        <v>10.29</v>
      </c>
      <c r="I79" s="24"/>
      <c r="J79" s="19"/>
      <c r="K79" s="18"/>
      <c r="L79" s="17"/>
      <c r="M79" s="16">
        <v>0</v>
      </c>
    </row>
    <row r="80" spans="2:16" ht="15" x14ac:dyDescent="0.25">
      <c r="C80" s="26">
        <v>0</v>
      </c>
      <c r="D80" s="25">
        <v>0</v>
      </c>
      <c r="E80" s="24">
        <v>0</v>
      </c>
      <c r="F80" s="23">
        <v>0</v>
      </c>
      <c r="G80" s="22">
        <v>0</v>
      </c>
      <c r="H80" s="21">
        <v>0</v>
      </c>
      <c r="I80" s="24"/>
      <c r="J80" s="19"/>
      <c r="K80" s="18"/>
      <c r="L80" s="17"/>
      <c r="M80" s="16">
        <v>0</v>
      </c>
    </row>
    <row r="81" spans="3:13" ht="15" x14ac:dyDescent="0.25">
      <c r="C81" s="26">
        <v>0</v>
      </c>
      <c r="D81" s="25">
        <v>0</v>
      </c>
      <c r="E81" s="24">
        <v>0</v>
      </c>
      <c r="F81" s="23">
        <v>0</v>
      </c>
      <c r="G81" s="22">
        <v>0</v>
      </c>
      <c r="H81" s="21">
        <v>0</v>
      </c>
      <c r="I81" s="24"/>
      <c r="J81" s="19"/>
      <c r="K81" s="18"/>
      <c r="L81" s="17"/>
      <c r="M81" s="16">
        <v>0</v>
      </c>
    </row>
    <row r="82" spans="3:13" ht="15" x14ac:dyDescent="0.25">
      <c r="C82" s="26">
        <v>0</v>
      </c>
      <c r="D82" s="25">
        <v>0</v>
      </c>
      <c r="E82" s="24">
        <v>0</v>
      </c>
      <c r="F82" s="23">
        <v>0</v>
      </c>
      <c r="G82" s="22">
        <v>0</v>
      </c>
      <c r="H82" s="21">
        <v>0</v>
      </c>
      <c r="I82" s="20"/>
      <c r="J82" s="19"/>
      <c r="K82" s="18"/>
      <c r="L82" s="17"/>
      <c r="M82" s="16">
        <v>0</v>
      </c>
    </row>
    <row r="83" spans="3:13" ht="15" x14ac:dyDescent="0.25">
      <c r="C83" s="26">
        <v>0</v>
      </c>
      <c r="D83" s="25"/>
      <c r="E83" s="24">
        <v>0</v>
      </c>
      <c r="F83" s="23">
        <v>0</v>
      </c>
      <c r="G83" s="22">
        <v>0</v>
      </c>
      <c r="H83" s="21">
        <v>0</v>
      </c>
      <c r="I83" s="20"/>
      <c r="J83" s="19"/>
      <c r="K83" s="18"/>
      <c r="L83" s="17"/>
      <c r="M83" s="16">
        <v>0</v>
      </c>
    </row>
    <row r="84" spans="3:13" ht="15" x14ac:dyDescent="0.25">
      <c r="C84" s="26">
        <v>0</v>
      </c>
      <c r="D84" s="25" t="s">
        <v>0</v>
      </c>
      <c r="E84" s="24">
        <v>0</v>
      </c>
      <c r="F84" s="23">
        <v>0</v>
      </c>
      <c r="G84" s="22">
        <v>0</v>
      </c>
      <c r="H84" s="21">
        <v>0</v>
      </c>
      <c r="I84" s="20"/>
      <c r="J84" s="19"/>
      <c r="K84" s="18"/>
      <c r="L84" s="17"/>
      <c r="M84" s="16">
        <v>0</v>
      </c>
    </row>
    <row r="85" spans="3:13" ht="15" x14ac:dyDescent="0.25">
      <c r="C85" s="15"/>
      <c r="D85" s="11"/>
      <c r="E85" s="14"/>
      <c r="F85" s="14"/>
      <c r="G85" s="11">
        <v>4.2169370235083123</v>
      </c>
      <c r="H85" s="14"/>
      <c r="I85" s="11"/>
      <c r="J85" s="13"/>
      <c r="K85" s="12"/>
      <c r="L85" s="11"/>
      <c r="M85" s="10">
        <v>0</v>
      </c>
    </row>
    <row r="86" spans="3:13" ht="15.75" thickBot="1" x14ac:dyDescent="0.3">
      <c r="C86" s="9"/>
      <c r="D86" s="8"/>
      <c r="E86" s="6">
        <v>23.713894573840292</v>
      </c>
      <c r="F86" s="6"/>
      <c r="G86" s="7"/>
      <c r="H86" s="5"/>
      <c r="I86" s="6"/>
      <c r="J86" s="5"/>
      <c r="K86" s="4"/>
      <c r="L86" s="3"/>
      <c r="M86" s="3"/>
    </row>
    <row r="414" spans="59:59" x14ac:dyDescent="0.2">
      <c r="BG414" s="2"/>
    </row>
  </sheetData>
  <autoFilter ref="P9:P44" xr:uid="{00000000-0009-0000-0000-000008000000}">
    <filterColumn colId="0">
      <filters>
        <filter val="1"/>
      </filters>
    </filterColumn>
  </autoFilter>
  <mergeCells count="19">
    <mergeCell ref="C63:M63"/>
    <mergeCell ref="C64:M64"/>
    <mergeCell ref="H11:J12"/>
    <mergeCell ref="K11:M12"/>
    <mergeCell ref="C3:E7"/>
    <mergeCell ref="L8:M8"/>
    <mergeCell ref="F9:G9"/>
    <mergeCell ref="H9:J9"/>
    <mergeCell ref="K9:M9"/>
    <mergeCell ref="C65:M65"/>
    <mergeCell ref="H13:M13"/>
    <mergeCell ref="H14:M16"/>
    <mergeCell ref="H17:M17"/>
    <mergeCell ref="H18:M21"/>
    <mergeCell ref="C23:M23"/>
    <mergeCell ref="J25:L25"/>
    <mergeCell ref="C41:M41"/>
    <mergeCell ref="C55:M59"/>
    <mergeCell ref="C60:M6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2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2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78BE-114A-4052-8595-6FD4AC2C994D}">
  <sheetPr codeName="Planilha1"/>
  <dimension ref="B1:AB49"/>
  <sheetViews>
    <sheetView showGridLines="0" tabSelected="1" topLeftCell="N1" zoomScale="130" zoomScaleNormal="130" workbookViewId="0">
      <selection activeCell="V15" sqref="V15"/>
    </sheetView>
  </sheetViews>
  <sheetFormatPr defaultRowHeight="15" x14ac:dyDescent="0.25"/>
  <cols>
    <col min="2" max="2" width="52.28515625" bestFit="1" customWidth="1"/>
    <col min="3" max="3" width="13.28515625" customWidth="1"/>
    <col min="4" max="4" width="11.140625" customWidth="1"/>
    <col min="5" max="5" width="14.140625" bestFit="1" customWidth="1"/>
    <col min="6" max="6" width="10.7109375" customWidth="1"/>
    <col min="7" max="7" width="16.28515625" customWidth="1"/>
    <col min="8" max="10" width="14.7109375" customWidth="1"/>
    <col min="11" max="11" width="13.7109375" bestFit="1" customWidth="1"/>
    <col min="12" max="12" width="13.7109375" customWidth="1"/>
    <col min="13" max="13" width="14" customWidth="1"/>
    <col min="14" max="15" width="9.7109375" customWidth="1"/>
    <col min="16" max="16" width="36" customWidth="1"/>
    <col min="17" max="17" width="17.7109375" bestFit="1" customWidth="1"/>
    <col min="18" max="18" width="12.5703125" customWidth="1"/>
    <col min="19" max="19" width="12.140625" customWidth="1"/>
    <col min="24" max="24" width="3.7109375" customWidth="1"/>
    <col min="27" max="27" width="11.140625" bestFit="1" customWidth="1"/>
    <col min="28" max="28" width="11.28515625" bestFit="1" customWidth="1"/>
  </cols>
  <sheetData>
    <row r="1" spans="2:28" x14ac:dyDescent="0.25">
      <c r="B1" s="199" t="s">
        <v>147</v>
      </c>
      <c r="C1" s="199"/>
      <c r="D1" s="199"/>
      <c r="E1" s="199"/>
      <c r="F1" t="s">
        <v>147</v>
      </c>
      <c r="L1" t="s">
        <v>146</v>
      </c>
    </row>
    <row r="2" spans="2:28" x14ac:dyDescent="0.25">
      <c r="B2" s="199" t="s">
        <v>53</v>
      </c>
      <c r="C2" s="199"/>
      <c r="D2" s="199"/>
      <c r="E2" s="199"/>
      <c r="H2" s="199" t="s">
        <v>53</v>
      </c>
      <c r="I2" s="199"/>
      <c r="J2" s="199"/>
      <c r="K2" s="199"/>
      <c r="U2" s="206" t="s">
        <v>145</v>
      </c>
      <c r="V2" s="205" t="s">
        <v>144</v>
      </c>
      <c r="W2" s="204" t="s">
        <v>143</v>
      </c>
      <c r="Y2" s="192" t="s">
        <v>142</v>
      </c>
    </row>
    <row r="3" spans="2:28" x14ac:dyDescent="0.25">
      <c r="B3" s="94" t="s">
        <v>52</v>
      </c>
      <c r="C3" s="94" t="s">
        <v>123</v>
      </c>
      <c r="D3" s="94" t="s">
        <v>122</v>
      </c>
      <c r="E3" s="94" t="s">
        <v>50</v>
      </c>
      <c r="F3">
        <f>C4+D4*7</f>
        <v>133.76</v>
      </c>
      <c r="H3" s="94" t="s">
        <v>52</v>
      </c>
      <c r="I3" s="94" t="s">
        <v>123</v>
      </c>
      <c r="J3" s="94" t="s">
        <v>122</v>
      </c>
      <c r="K3" s="94" t="s">
        <v>50</v>
      </c>
      <c r="U3" s="192">
        <v>40.799999999999997</v>
      </c>
      <c r="V3" s="192">
        <v>24.7</v>
      </c>
      <c r="W3" s="192">
        <v>9.99</v>
      </c>
      <c r="Y3" s="192">
        <v>50.79</v>
      </c>
    </row>
    <row r="4" spans="2:28" ht="15.75" x14ac:dyDescent="0.25">
      <c r="B4" s="90" t="s">
        <v>78</v>
      </c>
      <c r="C4" s="88">
        <v>17.420000000000002</v>
      </c>
      <c r="D4" s="88">
        <f>16.62</f>
        <v>16.62</v>
      </c>
      <c r="E4" s="88">
        <v>13.23</v>
      </c>
      <c r="H4" s="90" t="s">
        <v>78</v>
      </c>
      <c r="I4" s="88">
        <v>19.86</v>
      </c>
      <c r="J4" s="88" t="s">
        <v>119</v>
      </c>
      <c r="K4" s="88">
        <v>28.74</v>
      </c>
      <c r="AA4" s="203" t="s">
        <v>141</v>
      </c>
      <c r="AB4" s="203"/>
    </row>
    <row r="5" spans="2:28" ht="15.75" x14ac:dyDescent="0.25">
      <c r="B5" s="90" t="s">
        <v>140</v>
      </c>
      <c r="C5" s="88">
        <v>17.73</v>
      </c>
      <c r="D5" s="88">
        <v>16.899999999999999</v>
      </c>
      <c r="E5" s="88">
        <v>13.58</v>
      </c>
      <c r="H5" s="90" t="s">
        <v>74</v>
      </c>
      <c r="I5" s="88" t="s">
        <v>116</v>
      </c>
      <c r="J5" s="88" t="s">
        <v>115</v>
      </c>
      <c r="K5" s="88">
        <v>29.55</v>
      </c>
      <c r="P5" s="202" t="s">
        <v>139</v>
      </c>
      <c r="Q5" s="201" t="s">
        <v>138</v>
      </c>
      <c r="R5" s="200" t="s">
        <v>137</v>
      </c>
      <c r="S5" s="200" t="s">
        <v>136</v>
      </c>
      <c r="AA5" s="192" t="s">
        <v>137</v>
      </c>
      <c r="AB5" s="192" t="s">
        <v>136</v>
      </c>
    </row>
    <row r="6" spans="2:28" ht="15.75" x14ac:dyDescent="0.25">
      <c r="B6" s="90" t="s">
        <v>6</v>
      </c>
      <c r="C6" s="88">
        <v>18.329999999999998</v>
      </c>
      <c r="D6" s="88">
        <v>17.440000000000001</v>
      </c>
      <c r="E6" s="88">
        <v>14.28</v>
      </c>
      <c r="H6" s="90" t="s">
        <v>72</v>
      </c>
      <c r="I6" s="88" t="s">
        <v>114</v>
      </c>
      <c r="J6" s="88" t="s">
        <v>113</v>
      </c>
      <c r="K6" s="88">
        <v>30.28</v>
      </c>
      <c r="P6" s="196" t="s">
        <v>135</v>
      </c>
      <c r="Q6" s="195">
        <v>43</v>
      </c>
      <c r="R6" s="198">
        <f>$Q6/AA6</f>
        <v>1.3214505224339275</v>
      </c>
      <c r="S6" s="198">
        <f>$Q6/AB6</f>
        <v>1.1053984575835476</v>
      </c>
      <c r="X6" t="str">
        <f>_xlfn.TEXTJOIN(",",,Y6:Y13)</f>
        <v>'334','35','36','378','39','40','41','42'</v>
      </c>
      <c r="Y6" t="str">
        <f>"'"&amp;Z6&amp;"'"</f>
        <v>'334'</v>
      </c>
      <c r="Z6" s="197" t="s">
        <v>78</v>
      </c>
      <c r="AA6" s="192">
        <v>32.54</v>
      </c>
      <c r="AB6" s="192">
        <v>38.9</v>
      </c>
    </row>
    <row r="7" spans="2:28" ht="15.75" x14ac:dyDescent="0.25">
      <c r="B7" s="90" t="s">
        <v>134</v>
      </c>
      <c r="C7" s="89">
        <v>19</v>
      </c>
      <c r="D7" s="89">
        <v>18.12</v>
      </c>
      <c r="E7" s="88">
        <v>14.94</v>
      </c>
      <c r="H7" s="90" t="s">
        <v>112</v>
      </c>
      <c r="I7" s="88" t="s">
        <v>111</v>
      </c>
      <c r="J7" s="88" t="s">
        <v>110</v>
      </c>
      <c r="K7" s="88">
        <v>31.05</v>
      </c>
      <c r="P7" s="196" t="s">
        <v>133</v>
      </c>
      <c r="Q7" s="195">
        <v>55</v>
      </c>
      <c r="R7" s="198">
        <f>$Q7/AA7</f>
        <v>1.7350157728706626</v>
      </c>
      <c r="S7" s="198">
        <f>$Q7/AB7</f>
        <v>1.4832793959007551</v>
      </c>
      <c r="X7" t="s">
        <v>132</v>
      </c>
      <c r="Y7" t="str">
        <f>"'"&amp;Z7&amp;"'"</f>
        <v>'35'</v>
      </c>
      <c r="Z7" s="197" t="s">
        <v>74</v>
      </c>
      <c r="AA7" s="192">
        <v>31.7</v>
      </c>
      <c r="AB7" s="192">
        <v>37.08</v>
      </c>
    </row>
    <row r="8" spans="2:28" ht="15.75" x14ac:dyDescent="0.25">
      <c r="H8" s="90" t="s">
        <v>109</v>
      </c>
      <c r="I8" s="88" t="s">
        <v>108</v>
      </c>
      <c r="J8" s="88" t="s">
        <v>107</v>
      </c>
      <c r="K8" s="88">
        <v>31.82</v>
      </c>
      <c r="P8" s="196" t="s">
        <v>131</v>
      </c>
      <c r="Q8" s="195">
        <v>60</v>
      </c>
      <c r="R8" s="198">
        <f>$Q8/AA8</f>
        <v>1.948051948051948</v>
      </c>
      <c r="S8" s="198">
        <f>$Q8/AB8</f>
        <v>1.6731734523145567</v>
      </c>
      <c r="Y8" t="str">
        <f>"'"&amp;Z8&amp;"'"</f>
        <v>'36'</v>
      </c>
      <c r="Z8" s="197" t="s">
        <v>72</v>
      </c>
      <c r="AA8" s="192">
        <v>30.8</v>
      </c>
      <c r="AB8" s="192">
        <v>35.86</v>
      </c>
    </row>
    <row r="9" spans="2:28" ht="15.75" x14ac:dyDescent="0.25">
      <c r="B9" s="97" t="s">
        <v>130</v>
      </c>
      <c r="C9" s="96"/>
      <c r="D9" s="95"/>
      <c r="H9" s="90" t="s">
        <v>67</v>
      </c>
      <c r="I9" s="88" t="s">
        <v>106</v>
      </c>
      <c r="J9" s="88" t="s">
        <v>105</v>
      </c>
      <c r="K9" s="88">
        <v>32.6</v>
      </c>
      <c r="P9" s="196" t="s">
        <v>129</v>
      </c>
      <c r="Q9" s="195">
        <v>60</v>
      </c>
      <c r="R9" s="198">
        <f>$Q9/AA9</f>
        <v>2.1889821233126594</v>
      </c>
      <c r="S9" s="198">
        <f>$Q9/AB9</f>
        <v>1.8416206261510131</v>
      </c>
      <c r="Y9" t="str">
        <f>"'"&amp;Z9&amp;"'"</f>
        <v>'378'</v>
      </c>
      <c r="Z9" s="197" t="s">
        <v>6</v>
      </c>
      <c r="AA9" s="192">
        <v>27.41</v>
      </c>
      <c r="AB9" s="192">
        <v>32.58</v>
      </c>
    </row>
    <row r="10" spans="2:28" ht="15.75" x14ac:dyDescent="0.25">
      <c r="B10" s="97" t="s">
        <v>53</v>
      </c>
      <c r="C10" s="96"/>
      <c r="D10" s="95"/>
      <c r="H10" s="90" t="s">
        <v>65</v>
      </c>
      <c r="I10" s="88" t="s">
        <v>128</v>
      </c>
      <c r="J10" s="88" t="s">
        <v>104</v>
      </c>
      <c r="K10" s="88">
        <v>33.369999999999997</v>
      </c>
      <c r="P10" s="196" t="s">
        <v>127</v>
      </c>
      <c r="Q10" s="195">
        <v>69</v>
      </c>
      <c r="R10" s="198">
        <f>$Q10/AA10</f>
        <v>2.5707898658718329</v>
      </c>
      <c r="S10" s="198">
        <f>$Q10/AB10</f>
        <v>2.2344559585492227</v>
      </c>
      <c r="Y10" t="str">
        <f>"'"&amp;Z10&amp;"'"</f>
        <v>'39'</v>
      </c>
      <c r="Z10" s="197" t="s">
        <v>67</v>
      </c>
      <c r="AA10" s="192">
        <v>26.84</v>
      </c>
      <c r="AB10" s="192">
        <v>30.88</v>
      </c>
    </row>
    <row r="11" spans="2:28" x14ac:dyDescent="0.25">
      <c r="B11" s="94" t="s">
        <v>52</v>
      </c>
      <c r="C11" s="94" t="s">
        <v>51</v>
      </c>
      <c r="D11" s="94" t="s">
        <v>50</v>
      </c>
      <c r="P11" s="196" t="s">
        <v>126</v>
      </c>
      <c r="Q11" s="195">
        <v>63</v>
      </c>
      <c r="R11" s="198">
        <f>$Q11/AA11</f>
        <v>2.388172858225929</v>
      </c>
      <c r="S11" s="198">
        <f>$Q11/AB11</f>
        <v>2.0628683693516701</v>
      </c>
      <c r="Y11" t="str">
        <f>"'"&amp;Z11&amp;"'"</f>
        <v>'40'</v>
      </c>
      <c r="Z11" s="197" t="s">
        <v>65</v>
      </c>
      <c r="AA11" s="192">
        <v>26.38</v>
      </c>
      <c r="AB11" s="192">
        <v>30.54</v>
      </c>
    </row>
    <row r="12" spans="2:28" ht="15.75" x14ac:dyDescent="0.25">
      <c r="B12" s="90" t="s">
        <v>78</v>
      </c>
      <c r="C12" s="88">
        <v>24.25</v>
      </c>
      <c r="D12" s="88">
        <v>16.59</v>
      </c>
      <c r="E12">
        <f>C12*1+C13*4</f>
        <v>123.49</v>
      </c>
      <c r="P12" s="196" t="s">
        <v>125</v>
      </c>
      <c r="Q12" s="195">
        <v>105</v>
      </c>
      <c r="R12" s="198">
        <f>$Q12/AA12</f>
        <v>5.0143266475644692</v>
      </c>
      <c r="S12" s="198">
        <f>$Q12/AB12</f>
        <v>3.4722222222222223</v>
      </c>
      <c r="Y12" t="str">
        <f>"'"&amp;Z12&amp;"'"</f>
        <v>'41'</v>
      </c>
      <c r="Z12" s="197" t="s">
        <v>63</v>
      </c>
      <c r="AA12" s="192">
        <v>20.94</v>
      </c>
      <c r="AB12" s="192">
        <v>30.24</v>
      </c>
    </row>
    <row r="13" spans="2:28" ht="15.75" x14ac:dyDescent="0.25">
      <c r="B13" s="90" t="s">
        <v>74</v>
      </c>
      <c r="C13" s="88">
        <v>24.81</v>
      </c>
      <c r="D13" s="88">
        <v>16.79</v>
      </c>
      <c r="H13" s="199" t="s">
        <v>53</v>
      </c>
      <c r="I13" s="199"/>
      <c r="J13" s="199"/>
      <c r="K13" s="199"/>
      <c r="P13" s="196" t="s">
        <v>124</v>
      </c>
      <c r="Q13" s="195">
        <v>97</v>
      </c>
      <c r="R13" s="198">
        <f>$Q13/AA13</f>
        <v>4.8719236564540429</v>
      </c>
      <c r="S13" s="198">
        <f>$Q13/AB13</f>
        <v>3.4804449228561176</v>
      </c>
      <c r="Y13" t="str">
        <f>"'"&amp;Z13&amp;"'"</f>
        <v>'42'</v>
      </c>
      <c r="Z13" s="197" t="s">
        <v>60</v>
      </c>
      <c r="AA13" s="192">
        <v>19.91</v>
      </c>
      <c r="AB13" s="192">
        <v>27.87</v>
      </c>
    </row>
    <row r="14" spans="2:28" ht="15.75" x14ac:dyDescent="0.25">
      <c r="B14" s="90" t="s">
        <v>72</v>
      </c>
      <c r="C14" s="88">
        <v>25.15</v>
      </c>
      <c r="D14" s="88">
        <v>16.93</v>
      </c>
      <c r="H14" s="94" t="s">
        <v>52</v>
      </c>
      <c r="I14" s="94" t="s">
        <v>123</v>
      </c>
      <c r="J14" s="94" t="s">
        <v>122</v>
      </c>
      <c r="K14" s="94" t="s">
        <v>50</v>
      </c>
      <c r="P14" s="196" t="s">
        <v>121</v>
      </c>
      <c r="Q14" s="195">
        <v>53</v>
      </c>
      <c r="R14" s="194">
        <f>$Q14/AA14</f>
        <v>2.6876267748478702</v>
      </c>
      <c r="S14" s="194">
        <f>$Q14/AB14</f>
        <v>2.3043478260869565</v>
      </c>
      <c r="X14" t="str">
        <f>_xlfn.TEXTJOIN(",",,Y14:Y15)</f>
        <v>'434','45'</v>
      </c>
      <c r="Y14" t="str">
        <f>"'"&amp;Z14&amp;"'"</f>
        <v>'434'</v>
      </c>
      <c r="Z14" s="193" t="s">
        <v>1</v>
      </c>
      <c r="AA14" s="192">
        <v>19.72</v>
      </c>
      <c r="AB14" s="192">
        <v>23</v>
      </c>
    </row>
    <row r="15" spans="2:28" ht="15.75" x14ac:dyDescent="0.25">
      <c r="B15" s="90" t="s">
        <v>6</v>
      </c>
      <c r="C15" s="88">
        <v>26.63</v>
      </c>
      <c r="D15" s="88">
        <v>17.89</v>
      </c>
      <c r="H15" s="90" t="s">
        <v>78</v>
      </c>
      <c r="I15" s="88" t="s">
        <v>120</v>
      </c>
      <c r="J15" s="90" t="s">
        <v>119</v>
      </c>
      <c r="K15" s="88">
        <v>28.74</v>
      </c>
      <c r="P15" s="196" t="s">
        <v>118</v>
      </c>
      <c r="Q15" s="195">
        <v>44</v>
      </c>
      <c r="R15" s="194">
        <f>$Q15/AA15</f>
        <v>2.0128087831655992</v>
      </c>
      <c r="S15" s="194">
        <f>$Q15/AB15</f>
        <v>1.6819571865443426</v>
      </c>
      <c r="X15" t="s">
        <v>117</v>
      </c>
      <c r="Y15" t="str">
        <f>"'"&amp;Z15&amp;"'"</f>
        <v>'45'</v>
      </c>
      <c r="Z15" s="193" t="s">
        <v>56</v>
      </c>
      <c r="AA15" s="192">
        <v>21.86</v>
      </c>
      <c r="AB15" s="192">
        <v>26.16</v>
      </c>
    </row>
    <row r="16" spans="2:28" ht="15.75" x14ac:dyDescent="0.25">
      <c r="B16" s="90" t="s">
        <v>67</v>
      </c>
      <c r="C16" s="88">
        <v>27.2</v>
      </c>
      <c r="D16" s="88">
        <v>18.09</v>
      </c>
      <c r="H16" s="90" t="s">
        <v>74</v>
      </c>
      <c r="I16" s="88" t="s">
        <v>116</v>
      </c>
      <c r="J16" s="90" t="s">
        <v>115</v>
      </c>
      <c r="K16" s="88">
        <v>29.55</v>
      </c>
    </row>
    <row r="17" spans="2:18" ht="15.75" x14ac:dyDescent="0.25">
      <c r="B17" s="90" t="s">
        <v>65</v>
      </c>
      <c r="C17" s="88">
        <v>27.55</v>
      </c>
      <c r="D17" s="88">
        <v>18.239999999999998</v>
      </c>
      <c r="H17" s="90" t="s">
        <v>72</v>
      </c>
      <c r="I17" s="88" t="s">
        <v>114</v>
      </c>
      <c r="J17" s="90" t="s">
        <v>113</v>
      </c>
      <c r="K17" s="88">
        <v>30.28</v>
      </c>
      <c r="R17" s="191">
        <f>SUM(R6:S15)</f>
        <v>48.078917370359335</v>
      </c>
    </row>
    <row r="18" spans="2:18" ht="15.75" x14ac:dyDescent="0.25">
      <c r="B18" s="90" t="s">
        <v>63</v>
      </c>
      <c r="C18" s="88">
        <v>27.88</v>
      </c>
      <c r="D18" s="88">
        <v>18.39</v>
      </c>
      <c r="H18" s="90" t="s">
        <v>112</v>
      </c>
      <c r="I18" s="88" t="s">
        <v>111</v>
      </c>
      <c r="J18" s="90" t="s">
        <v>110</v>
      </c>
      <c r="K18" s="88">
        <v>31.05</v>
      </c>
    </row>
    <row r="19" spans="2:18" ht="15.75" x14ac:dyDescent="0.25">
      <c r="B19" s="90" t="s">
        <v>60</v>
      </c>
      <c r="C19" s="88">
        <v>29.28</v>
      </c>
      <c r="D19" s="88">
        <v>19.350000000000001</v>
      </c>
      <c r="H19" s="90" t="s">
        <v>109</v>
      </c>
      <c r="I19" s="88" t="s">
        <v>108</v>
      </c>
      <c r="J19" s="90" t="s">
        <v>107</v>
      </c>
      <c r="K19" s="88">
        <v>31.82</v>
      </c>
    </row>
    <row r="20" spans="2:18" ht="15.75" x14ac:dyDescent="0.25">
      <c r="B20" s="90" t="s">
        <v>1</v>
      </c>
      <c r="C20" s="88">
        <v>29.87</v>
      </c>
      <c r="D20" s="88">
        <v>19.559999999999999</v>
      </c>
      <c r="H20" s="90" t="s">
        <v>67</v>
      </c>
      <c r="I20" s="88" t="s">
        <v>106</v>
      </c>
      <c r="J20" s="90" t="s">
        <v>105</v>
      </c>
      <c r="K20" s="88">
        <v>32.6</v>
      </c>
    </row>
    <row r="21" spans="2:18" ht="15.75" x14ac:dyDescent="0.25">
      <c r="B21" s="90" t="s">
        <v>56</v>
      </c>
      <c r="C21" s="89">
        <v>30.4</v>
      </c>
      <c r="D21" s="88">
        <v>19.78</v>
      </c>
      <c r="H21" s="90" t="s">
        <v>65</v>
      </c>
      <c r="I21" s="88">
        <v>22.1</v>
      </c>
      <c r="J21" s="90" t="s">
        <v>104</v>
      </c>
      <c r="K21" s="88">
        <v>33.369999999999997</v>
      </c>
    </row>
    <row r="36" spans="2:12" x14ac:dyDescent="0.25">
      <c r="B36" t="str">
        <f>"tipo: tipoNavalha."&amp;$B$9</f>
        <v>tipo: tipoNavalha.GASPEA_INT</v>
      </c>
    </row>
    <row r="39" spans="2:12" x14ac:dyDescent="0.25">
      <c r="B39" t="str">
        <f>"tamanho: "&amp;"'"&amp;B12&amp;"'"</f>
        <v>tamanho: '334'</v>
      </c>
      <c r="C39" t="str">
        <f>"{"&amp;_xlfn.TEXTJOIN(",",,D39:F39)&amp;"}"</f>
        <v>{largura1: 0,largura2: 24.25,comprimento: 16.59}</v>
      </c>
      <c r="D39" t="str">
        <f>"largura1: "&amp;SUBSTITUTE(0,",",".")</f>
        <v>largura1: 0</v>
      </c>
      <c r="E39" t="str">
        <f>"largura2: "&amp;SUBSTITUTE(C12,",",".")</f>
        <v>largura2: 24.25</v>
      </c>
      <c r="F39" t="str">
        <f>"comprimento: "&amp;SUBSTITUTE(D12,",",".")</f>
        <v>comprimento: 16.59</v>
      </c>
      <c r="G39" t="str">
        <f>"medida: "&amp;C39</f>
        <v>medida: {largura1: 0,largura2: 24.25,comprimento: 16.59}</v>
      </c>
      <c r="H39" t="str">
        <f>"{"&amp;_xlfn.TEXTJOIN(",",,$B$36,B39,G39)&amp;"}"</f>
        <v>{tipo: tipoNavalha.GASPEA_INT,tamanho: '334',medida: {largura1: 0,largura2: 24.25,comprimento: 16.59}}</v>
      </c>
      <c r="K39" t="s">
        <v>102</v>
      </c>
      <c r="L39" t="str">
        <f>_xlfn.TEXTJOIN(",",,H39:H48)</f>
        <v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v>
      </c>
    </row>
    <row r="40" spans="2:12" x14ac:dyDescent="0.25">
      <c r="B40" t="str">
        <f>"tamanho: "&amp;"'"&amp;B13&amp;"'"</f>
        <v>tamanho: '35'</v>
      </c>
      <c r="C40" t="str">
        <f>"{"&amp;_xlfn.TEXTJOIN(",",,D40:F40)&amp;"}"</f>
        <v>{largura1: 0,largura2: 24.81,comprimento: 16.79}</v>
      </c>
      <c r="D40" t="str">
        <f>"largura1: "&amp;0</f>
        <v>largura1: 0</v>
      </c>
      <c r="E40" t="str">
        <f>"largura2: "&amp;SUBSTITUTE(C13,",",".")</f>
        <v>largura2: 24.81</v>
      </c>
      <c r="F40" t="str">
        <f>"comprimento: "&amp;SUBSTITUTE(D13,",",".")</f>
        <v>comprimento: 16.79</v>
      </c>
      <c r="G40" t="str">
        <f>"medida: "&amp;C40</f>
        <v>medida: {largura1: 0,largura2: 24.81,comprimento: 16.79}</v>
      </c>
      <c r="H40" t="str">
        <f>"{"&amp;_xlfn.TEXTJOIN(",",,$B$36,B40,G40)&amp;"}"</f>
        <v>{tipo: tipoNavalha.GASPEA_INT,tamanho: '35',medida: {largura1: 0,largura2: 24.81,comprimento: 16.79}}</v>
      </c>
      <c r="K40" t="s">
        <v>102</v>
      </c>
      <c r="L40" t="s">
        <v>103</v>
      </c>
    </row>
    <row r="41" spans="2:12" x14ac:dyDescent="0.25">
      <c r="B41" t="str">
        <f>"tamanho: "&amp;"'"&amp;B14&amp;"'"</f>
        <v>tamanho: '36'</v>
      </c>
      <c r="C41" t="str">
        <f>"{"&amp;_xlfn.TEXTJOIN(",",,D41:F41)&amp;"}"</f>
        <v>{largura1: 0,largura2: 25.15,comprimento: 16.93}</v>
      </c>
      <c r="D41" t="str">
        <f>"largura1: "&amp;0</f>
        <v>largura1: 0</v>
      </c>
      <c r="E41" t="str">
        <f>"largura2: "&amp;SUBSTITUTE(C14,",",".")</f>
        <v>largura2: 25.15</v>
      </c>
      <c r="F41" t="str">
        <f>"comprimento: "&amp;SUBSTITUTE(D14,",",".")</f>
        <v>comprimento: 16.93</v>
      </c>
      <c r="G41" t="str">
        <f>"medida: "&amp;C41</f>
        <v>medida: {largura1: 0,largura2: 25.15,comprimento: 16.93}</v>
      </c>
      <c r="H41" t="str">
        <f>"{"&amp;_xlfn.TEXTJOIN(",",,$B$36,B41,G41)&amp;"}"</f>
        <v>{tipo: tipoNavalha.GASPEA_INT,tamanho: '36',medida: {largura1: 0,largura2: 25.15,comprimento: 16.93}}</v>
      </c>
      <c r="K41" t="s">
        <v>102</v>
      </c>
    </row>
    <row r="42" spans="2:12" x14ac:dyDescent="0.25">
      <c r="B42" t="str">
        <f>"tamanho: "&amp;"'"&amp;B15&amp;"'"</f>
        <v>tamanho: '378'</v>
      </c>
      <c r="C42" t="str">
        <f>"{"&amp;_xlfn.TEXTJOIN(",",,D42:F42)&amp;"}"</f>
        <v>{largura1: 0,largura2: 26.63,comprimento: 17.89}</v>
      </c>
      <c r="D42" t="str">
        <f>"largura1: "&amp;0</f>
        <v>largura1: 0</v>
      </c>
      <c r="E42" t="str">
        <f>"largura2: "&amp;SUBSTITUTE(C15,",",".")</f>
        <v>largura2: 26.63</v>
      </c>
      <c r="F42" t="str">
        <f>"comprimento: "&amp;SUBSTITUTE(D15,",",".")</f>
        <v>comprimento: 17.89</v>
      </c>
      <c r="G42" t="str">
        <f>"medida: "&amp;C42</f>
        <v>medida: {largura1: 0,largura2: 26.63,comprimento: 17.89}</v>
      </c>
      <c r="H42" t="str">
        <f>"{"&amp;_xlfn.TEXTJOIN(",",,$B$36,B42,G42)&amp;"}"</f>
        <v>{tipo: tipoNavalha.GASPEA_INT,tamanho: '378',medida: {largura1: 0,largura2: 26.63,comprimento: 17.89}}</v>
      </c>
      <c r="K42" t="s">
        <v>102</v>
      </c>
    </row>
    <row r="43" spans="2:12" x14ac:dyDescent="0.25">
      <c r="B43" t="str">
        <f>"tamanho: "&amp;"'"&amp;B16&amp;"'"</f>
        <v>tamanho: '39'</v>
      </c>
      <c r="C43" t="str">
        <f>"{"&amp;_xlfn.TEXTJOIN(",",,D43:F43)&amp;"}"</f>
        <v>{largura1: 0,largura2: 27.2,comprimento: 18.09}</v>
      </c>
      <c r="D43" t="str">
        <f>"largura1: "&amp;0</f>
        <v>largura1: 0</v>
      </c>
      <c r="E43" t="str">
        <f>"largura2: "&amp;SUBSTITUTE(C16,",",".")</f>
        <v>largura2: 27.2</v>
      </c>
      <c r="F43" t="str">
        <f>"comprimento: "&amp;SUBSTITUTE(D16,",",".")</f>
        <v>comprimento: 18.09</v>
      </c>
      <c r="G43" t="str">
        <f>"medida: "&amp;C43</f>
        <v>medida: {largura1: 0,largura2: 27.2,comprimento: 18.09}</v>
      </c>
      <c r="H43" t="str">
        <f>"{"&amp;_xlfn.TEXTJOIN(",",,$B$36,B43,G43)&amp;"}"</f>
        <v>{tipo: tipoNavalha.GASPEA_INT,tamanho: '39',medida: {largura1: 0,largura2: 27.2,comprimento: 18.09}}</v>
      </c>
      <c r="K43" t="s">
        <v>102</v>
      </c>
    </row>
    <row r="44" spans="2:12" x14ac:dyDescent="0.25">
      <c r="B44" t="str">
        <f>"tamanho: "&amp;"'"&amp;B17&amp;"'"</f>
        <v>tamanho: '40'</v>
      </c>
      <c r="C44" t="str">
        <f>"{"&amp;_xlfn.TEXTJOIN(",",,D44:F44)&amp;"}"</f>
        <v>{largura1: 0,largura2: 27.55,comprimento: 18.24}</v>
      </c>
      <c r="D44" t="str">
        <f>"largura1: "&amp;0</f>
        <v>largura1: 0</v>
      </c>
      <c r="E44" t="str">
        <f>"largura2: "&amp;SUBSTITUTE(C17,",",".")</f>
        <v>largura2: 27.55</v>
      </c>
      <c r="F44" t="str">
        <f>"comprimento: "&amp;SUBSTITUTE(D17,",",".")</f>
        <v>comprimento: 18.24</v>
      </c>
      <c r="G44" t="str">
        <f>"medida: "&amp;C44</f>
        <v>medida: {largura1: 0,largura2: 27.55,comprimento: 18.24}</v>
      </c>
      <c r="H44" t="str">
        <f>"{"&amp;_xlfn.TEXTJOIN(",",,$B$36,B44,G44)&amp;"}"</f>
        <v>{tipo: tipoNavalha.GASPEA_INT,tamanho: '40',medida: {largura1: 0,largura2: 27.55,comprimento: 18.24}}</v>
      </c>
      <c r="K44" t="s">
        <v>102</v>
      </c>
    </row>
    <row r="45" spans="2:12" x14ac:dyDescent="0.25">
      <c r="B45" t="str">
        <f>"tamanho: "&amp;"'"&amp;B18&amp;"'"</f>
        <v>tamanho: '41'</v>
      </c>
      <c r="C45" t="str">
        <f>"{"&amp;_xlfn.TEXTJOIN(",",,D45:F45)&amp;"}"</f>
        <v>{largura1: 0,largura2: 27.88,comprimento: 18.39}</v>
      </c>
      <c r="D45" t="str">
        <f>"largura1: "&amp;0</f>
        <v>largura1: 0</v>
      </c>
      <c r="E45" t="str">
        <f>"largura2: "&amp;SUBSTITUTE(C18,",",".")</f>
        <v>largura2: 27.88</v>
      </c>
      <c r="F45" t="str">
        <f>"comprimento: "&amp;SUBSTITUTE(D18,",",".")</f>
        <v>comprimento: 18.39</v>
      </c>
      <c r="G45" t="str">
        <f>"medida: "&amp;C45</f>
        <v>medida: {largura1: 0,largura2: 27.88,comprimento: 18.39}</v>
      </c>
      <c r="H45" t="str">
        <f>"{"&amp;_xlfn.TEXTJOIN(",",,$B$36,B45,G45)&amp;"}"</f>
        <v>{tipo: tipoNavalha.GASPEA_INT,tamanho: '41',medida: {largura1: 0,largura2: 27.88,comprimento: 18.39}}</v>
      </c>
      <c r="K45" t="s">
        <v>102</v>
      </c>
    </row>
    <row r="46" spans="2:12" x14ac:dyDescent="0.25">
      <c r="B46" t="str">
        <f>"tamanho: "&amp;"'"&amp;B19&amp;"'"</f>
        <v>tamanho: '42'</v>
      </c>
      <c r="C46" t="str">
        <f>"{"&amp;_xlfn.TEXTJOIN(",",,D46:F46)&amp;"}"</f>
        <v>{largura1: 0,largura2: 29.28,comprimento: 19.35}</v>
      </c>
      <c r="D46" t="str">
        <f>"largura1: "&amp;0</f>
        <v>largura1: 0</v>
      </c>
      <c r="E46" t="str">
        <f>"largura2: "&amp;SUBSTITUTE(C19,",",".")</f>
        <v>largura2: 29.28</v>
      </c>
      <c r="F46" t="str">
        <f>"comprimento: "&amp;SUBSTITUTE(D19,",",".")</f>
        <v>comprimento: 19.35</v>
      </c>
      <c r="G46" t="str">
        <f>"medida: "&amp;C46</f>
        <v>medida: {largura1: 0,largura2: 29.28,comprimento: 19.35}</v>
      </c>
      <c r="H46" t="str">
        <f>"{"&amp;_xlfn.TEXTJOIN(",",,$B$36,B46,G46)&amp;"}"</f>
        <v>{tipo: tipoNavalha.GASPEA_INT,tamanho: '42',medida: {largura1: 0,largura2: 29.28,comprimento: 19.35}}</v>
      </c>
      <c r="K46" t="s">
        <v>102</v>
      </c>
    </row>
    <row r="47" spans="2:12" x14ac:dyDescent="0.25">
      <c r="B47" t="str">
        <f>"tamanho: "&amp;"'"&amp;B20&amp;"'"</f>
        <v>tamanho: '434'</v>
      </c>
      <c r="C47" t="str">
        <f>"{"&amp;_xlfn.TEXTJOIN(",",,D47:F47)&amp;"}"</f>
        <v>{largura1: 0,largura2: 29.87,comprimento: 19.56}</v>
      </c>
      <c r="D47" t="str">
        <f>"largura1: "&amp;0</f>
        <v>largura1: 0</v>
      </c>
      <c r="E47" t="str">
        <f>"largura2: "&amp;SUBSTITUTE(C20,",",".")</f>
        <v>largura2: 29.87</v>
      </c>
      <c r="F47" t="str">
        <f>"comprimento: "&amp;SUBSTITUTE(D20,",",".")</f>
        <v>comprimento: 19.56</v>
      </c>
      <c r="G47" t="str">
        <f>"medida: "&amp;C47</f>
        <v>medida: {largura1: 0,largura2: 29.87,comprimento: 19.56}</v>
      </c>
      <c r="H47" t="str">
        <f>"{"&amp;_xlfn.TEXTJOIN(",",,$B$36,B47,G47)&amp;"}"</f>
        <v>{tipo: tipoNavalha.GASPEA_INT,tamanho: '434',medida: {largura1: 0,largura2: 29.87,comprimento: 19.56}}</v>
      </c>
      <c r="K47" t="s">
        <v>102</v>
      </c>
    </row>
    <row r="48" spans="2:12" x14ac:dyDescent="0.25">
      <c r="B48" t="str">
        <f>"tamanho: "&amp;"'"&amp;B21&amp;"'"</f>
        <v>tamanho: '45'</v>
      </c>
      <c r="C48" t="str">
        <f>"{"&amp;_xlfn.TEXTJOIN(",",,D48:F48)&amp;"}"</f>
        <v>{largura1: 0,largura2: 30.4,comprimento: 19.78}</v>
      </c>
      <c r="D48" t="str">
        <f>"largura1: "&amp;0</f>
        <v>largura1: 0</v>
      </c>
      <c r="E48" t="str">
        <f>"largura2: "&amp;SUBSTITUTE(C21,",",".")</f>
        <v>largura2: 30.4</v>
      </c>
      <c r="F48" t="str">
        <f>"comprimento: "&amp;SUBSTITUTE(D21,",",".")</f>
        <v>comprimento: 19.78</v>
      </c>
      <c r="G48" t="str">
        <f>"medida: "&amp;C48</f>
        <v>medida: {largura1: 0,largura2: 30.4,comprimento: 19.78}</v>
      </c>
      <c r="H48" t="str">
        <f>"{"&amp;_xlfn.TEXTJOIN(",",,$B$36,B48,G48)&amp;"}"</f>
        <v>{tipo: tipoNavalha.GASPEA_INT,tamanho: '45',medida: {largura1: 0,largura2: 30.4,comprimento: 19.78}}</v>
      </c>
      <c r="K48" t="s">
        <v>102</v>
      </c>
    </row>
    <row r="49" spans="11:11" x14ac:dyDescent="0.25">
      <c r="K49" t="s">
        <v>102</v>
      </c>
    </row>
  </sheetData>
  <mergeCells count="7">
    <mergeCell ref="H13:K13"/>
    <mergeCell ref="AA4:AB4"/>
    <mergeCell ref="B2:E2"/>
    <mergeCell ref="B10:D10"/>
    <mergeCell ref="B1:E1"/>
    <mergeCell ref="B9:D9"/>
    <mergeCell ref="H2:K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&amp;L_x000D_&amp;1#&amp;"Aptos"&amp;10&amp;K000000 Classificação Privada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GÁSPEA INT</vt:lpstr>
      <vt:lpstr>GÁSPEA EXT</vt:lpstr>
      <vt:lpstr>Calculos</vt:lpstr>
      <vt:lpstr>'GÁSPEA EXT'!Area_de_impressao</vt:lpstr>
      <vt:lpstr>'GÁSPEA INT'!Area_de_impressao</vt:lpstr>
    </vt:vector>
  </TitlesOfParts>
  <Company>Grendene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Manoel Ribeiro do Nascimento</dc:creator>
  <cp:lastModifiedBy>Manoel Ribeiro do Nascimento</cp:lastModifiedBy>
  <dcterms:created xsi:type="dcterms:W3CDTF">2026-10-20T19:01:43Z</dcterms:created>
  <dcterms:modified xsi:type="dcterms:W3CDTF">2026-10-20T19:02:49Z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7a366f-f489-4410-a47a-bbff90ac6d69_Enabled">
    <vt:lpwstr>true</vt:lpwstr>
  </property>
  <property fmtid="{D5CDD505-2E9C-101B-9397-08002B2CF9AE}" pid="3" name="MSIP_Label_237a366f-f489-4410-a47a-bbff90ac6d69_SetDate">
    <vt:lpwstr>2026-10-20T19:02:32Z</vt:lpwstr>
  </property>
  <property fmtid="{D5CDD505-2E9C-101B-9397-08002B2CF9AE}" pid="4" name="MSIP_Label_237a366f-f489-4410-a47a-bbff90ac6d69_Method">
    <vt:lpwstr>Standard</vt:lpwstr>
  </property>
  <property fmtid="{D5CDD505-2E9C-101B-9397-08002B2CF9AE}" pid="5" name="MSIP_Label_237a366f-f489-4410-a47a-bbff90ac6d69_Name">
    <vt:lpwstr>Privado</vt:lpwstr>
  </property>
  <property fmtid="{D5CDD505-2E9C-101B-9397-08002B2CF9AE}" pid="6" name="MSIP_Label_237a366f-f489-4410-a47a-bbff90ac6d69_SiteId">
    <vt:lpwstr>b7ed67af-ba40-4040-a386-ab53a0ad3e96</vt:lpwstr>
  </property>
  <property fmtid="{D5CDD505-2E9C-101B-9397-08002B2CF9AE}" pid="7" name="MSIP_Label_237a366f-f489-4410-a47a-bbff90ac6d69_ActionId">
    <vt:lpwstr>827e23a0-e0ac-4a37-8881-3972bc5e4f06</vt:lpwstr>
  </property>
  <property fmtid="{D5CDD505-2E9C-101B-9397-08002B2CF9AE}" pid="8" name="MSIP_Label_237a366f-f489-4410-a47a-bbff90ac6d69_ContentBits">
    <vt:lpwstr>2</vt:lpwstr>
  </property>
  <property fmtid="{D5CDD505-2E9C-101B-9397-08002B2CF9AE}" pid="9" name="MSIP_Label_237a366f-f489-4410-a47a-bbff90ac6d69_Tag">
    <vt:lpwstr>10, 3, 0, 1</vt:lpwstr>
  </property>
</Properties>
</file>